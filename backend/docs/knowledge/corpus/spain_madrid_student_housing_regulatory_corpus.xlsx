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0e3f6ad191418a" /></Relationships>
</file>

<file path=xl/workbook.xml><?xml version="1.0" encoding="utf-8"?>
<x:workbook xmlns:x="http://schemas.openxmlformats.org/spreadsheetml/2006/main">
  <x:sheets>
    <x:sheet xmlns:r="http://schemas.openxmlformats.org/officeDocument/2006/relationships" name="Inventory" sheetId="1" r:id="R09cd38174b434322"/>
    <x:sheet xmlns:r="http://schemas.openxmlformats.org/officeDocument/2006/relationships" name="Ingest First" sheetId="2" r:id="R8046db7e7e6a4a6f"/>
    <x:sheet xmlns:r="http://schemas.openxmlformats.org/officeDocument/2006/relationships" name="Gaps" sheetId="3" r:id="Ra7d0889eb9af4ac8"/>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6"/>
      <x:color rgb="FFFFFFFF"/>
      <x:name val="Carlito"/>
    </x:font>
    <x:font>
      <x:i/>
      <x:sz val="9"/>
      <x:color rgb="FF1F1F1F"/>
      <x:name val="Carlito"/>
    </x:font>
    <x:font>
      <x:b/>
      <x:sz val="9"/>
      <x:color rgb="FF7F6000"/>
      <x:name val="Carlito"/>
    </x:font>
    <x:font>
      <x:b/>
      <x:sz val="11"/>
      <x:color rgb="FF17365D"/>
      <x:name val="Carlito"/>
    </x:font>
    <x:font>
      <x:b/>
      <x:sz val="9"/>
      <x:color rgb="FFFFFFFF"/>
      <x:name val="Carlito"/>
    </x:font>
    <x:font>
      <x:sz val="9"/>
      <x:color rgb="FF1F1F1F"/>
      <x:name val="Carlito"/>
    </x:font>
    <x:font>
      <x:b/>
      <x:sz val="9"/>
      <x:color rgb="FF006100"/>
      <x:name val="Carlito"/>
    </x:font>
    <x:font>
      <x:i/>
      <x:sz val="9"/>
      <x:name val="Carlito"/>
    </x:font>
    <x:font>
      <x:b/>
      <x:sz val="11"/>
      <x:color rgb="FF1F4E78"/>
      <x:name val="Carlito"/>
    </x:font>
    <x:font>
      <x:b/>
      <x:sz val="9"/>
      <x:color rgb="FF1F1F1F"/>
      <x:name val="Carlito"/>
    </x:font>
    <x:font>
      <x:b/>
      <x:sz val="9"/>
      <x:color rgb="FF008000"/>
      <x:name val="Carlito"/>
    </x:font>
    <x:font>
      <x:b/>
      <x:sz val="9"/>
      <x:color rgb="FFC00000"/>
      <x:name val="Carlito"/>
    </x:font>
  </x:fonts>
  <x:fills count="1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2F75B5"/>
      </x:patternFill>
    </x:fill>
    <x:fill>
      <x:patternFill patternType="solid">
        <x:fgColor rgb="FFF7FBFF"/>
      </x:patternFill>
    </x:fill>
    <x:fill>
      <x:patternFill patternType="solid">
        <x:fgColor rgb="FF1F4E78"/>
      </x:patternFill>
    </x:fill>
    <x:fill>
      <x:patternFill patternType="solid">
        <x:fgColor rgb="FFD9EAF7"/>
      </x:patternFill>
    </x:fill>
    <x:fill>
      <x:patternFill patternType="solid">
        <x:fgColor rgb="FF2F75B5"/>
      </x:patternFill>
    </x:fill>
    <x:fill>
      <x:patternFill patternType="solid">
        <x:fgColor rgb="FFF7FBFF"/>
      </x:patternFill>
    </x:fill>
    <x:fill>
      <x:patternFill patternType="solid">
        <x:fgColor rgb="FFFFFFFF"/>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2F75B5"/>
      </x:patternFill>
    </x:fill>
    <x:fill>
      <x:patternFill patternType="solid">
        <x:fgColor rgb="FFF7FBFF"/>
      </x:patternFill>
    </x:fill>
    <x:fill>
      <x:patternFill patternType="solid">
        <x:fgColor rgb="FFFFFFFF"/>
      </x:patternFill>
    </x:fill>
  </x:fills>
  <x:borders count="24">
    <x:border/>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D9E1F2"/>
      </x:left>
      <x:top style="thin">
        <x:color rgb="FFD9E1F2"/>
      </x:top>
    </x:border>
    <x:border>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bottom style="thin">
        <x:color rgb="FFD9E1F2"/>
      </x:bottom>
    </x:border>
    <x:border>
      <x:right style="thin">
        <x:color rgb="FFD9E1F2"/>
      </x:right>
      <x:bottom style="thin">
        <x:color rgb="FFD9E1F2"/>
      </x:bottom>
    </x:border>
    <x:border>
      <x:left style="thin">
        <x:color rgb="FFD9E1F2"/>
      </x:left>
      <x:top style="thin">
        <x:color rgb="FFD9E1F2"/>
      </x:top>
    </x:border>
    <x:border>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bottom style="thin">
        <x:color rgb="FFD9E1F2"/>
      </x:bottom>
    </x:border>
    <x:border>
      <x:right style="thin">
        <x:color rgb="FFD9E1F2"/>
      </x:right>
      <x:bottom style="thin">
        <x:color rgb="FFD9E1F2"/>
      </x:bottom>
    </x:border>
  </x:borders>
  <x:cellStyleXfs count="1">
    <x:xf numFmtId="0" fontId="0" fillId="0" borderId="0"/>
  </x:cellStyleXfs>
  <x:cellXfs count="2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3" borderId="0" xfId="0" applyNumberFormat="1" applyFont="1" applyFill="1" applyBorder="1"/>
    <x:xf numFmtId="0" fontId="4" fillId="3" borderId="0" xfId="0" applyNumberFormat="1" applyFont="1" applyFill="1" applyBorder="1" applyAlignment="1">
      <x:alignment vertical="center"/>
    </x:xf>
    <x:xf numFmtId="0" fontId="4" fillId="3" borderId="1" xfId="0" applyNumberFormat="1" applyFont="1" applyFill="1" applyBorder="1"/>
    <x:xf numFmtId="0" fontId="4" fillId="3" borderId="1"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0" fillId="5" borderId="1" xfId="0" applyNumberFormat="1" applyFont="1" applyFill="1" applyBorder="1"/>
    <x:xf numFmtId="0" fontId="5" fillId="5" borderId="1"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5"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5" xfId="0" applyNumberFormat="1" applyFont="1" applyFill="1" applyBorder="1" applyAlignment="1">
      <x:alignment horizontal="center" wrapText="1"/>
    </x:xf>
    <x:xf numFmtId="0" fontId="5" fillId="5" borderId="6" xfId="0" applyNumberFormat="1" applyFont="1" applyFill="1" applyBorder="1" applyAlignment="1">
      <x:alignment horizontal="center" wrapText="1"/>
    </x:xf>
    <x:xf numFmtId="0" fontId="5" fillId="5" borderId="7" xfId="0" applyNumberFormat="1" applyFont="1" applyFill="1" applyBorder="1" applyAlignment="1">
      <x:alignment horizontal="center" wrapText="1"/>
    </x:xf>
    <x:xf numFmtId="0" fontId="5" fillId="5" borderId="5" xfId="0" applyNumberFormat="1" applyFont="1" applyFill="1" applyBorder="1" applyAlignment="1">
      <x:alignment horizontal="center" vertical="center" wrapText="1"/>
    </x:xf>
    <x:xf numFmtId="0" fontId="5" fillId="5" borderId="6" xfId="0" applyNumberFormat="1" applyFont="1" applyFill="1" applyBorder="1" applyAlignment="1">
      <x:alignment horizontal="center" vertical="center" wrapText="1"/>
    </x:xf>
    <x:xf numFmtId="0" fontId="5" fillId="5" borderId="7" xfId="0" applyNumberFormat="1" applyFont="1" applyFill="1" applyBorder="1" applyAlignment="1">
      <x:alignment horizontal="center" vertical="center" wrapText="1"/>
    </x:xf>
    <x:xf numFmtId="0" fontId="6" fillId="0" borderId="0"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6" fillId="0" borderId="10" xfId="0" applyNumberFormat="1" applyFont="1" applyFill="1" applyBorder="1"/>
    <x:xf numFmtId="0" fontId="6" fillId="0" borderId="11" xfId="0" applyNumberFormat="1" applyFont="1" applyFill="1" applyBorder="1"/>
    <x:xf numFmtId="0" fontId="6" fillId="0" borderId="12" xfId="0" applyNumberFormat="1" applyFont="1" applyFill="1" applyBorder="1"/>
    <x:xf numFmtId="0" fontId="6" fillId="0" borderId="13" xfId="0" applyNumberFormat="1" applyFont="1" applyFill="1" applyBorder="1"/>
    <x:xf numFmtId="0" fontId="6" fillId="0" borderId="14" xfId="0" applyNumberFormat="1" applyFont="1" applyFill="1" applyBorder="1"/>
    <x:xf numFmtId="0" fontId="6" fillId="0" borderId="15" xfId="0" applyNumberFormat="1" applyFont="1" applyFill="1" applyBorder="1"/>
    <x:xf numFmtId="0" fontId="6" fillId="0" borderId="8" xfId="0" applyNumberFormat="1" applyFont="1" applyFill="1" applyBorder="1" applyAlignment="1">
      <x:alignment wrapText="1"/>
    </x:xf>
    <x:xf numFmtId="0" fontId="6" fillId="0" borderId="9" xfId="0" applyNumberFormat="1" applyFont="1" applyFill="1" applyBorder="1" applyAlignment="1">
      <x:alignment wrapText="1"/>
    </x:xf>
    <x:xf numFmtId="0" fontId="6" fillId="0" borderId="10" xfId="0" applyNumberFormat="1" applyFont="1" applyFill="1" applyBorder="1" applyAlignment="1">
      <x:alignment wrapText="1"/>
    </x:xf>
    <x:xf numFmtId="0" fontId="6" fillId="0" borderId="11"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13" xfId="0" applyNumberFormat="1" applyFont="1" applyFill="1" applyBorder="1" applyAlignment="1">
      <x:alignment wrapText="1"/>
    </x:xf>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0" borderId="1" xfId="0" applyNumberFormat="1" applyFont="1" applyFill="1" applyBorder="1"/>
    <x:xf numFmtId="0" fontId="6" fillId="0" borderId="16" xfId="0" applyNumberFormat="1" applyFont="1" applyFill="1" applyBorder="1"/>
    <x:xf numFmtId="0" fontId="6" fillId="0" borderId="17" xfId="0" applyNumberFormat="1" applyFont="1" applyFill="1" applyBorder="1"/>
    <x:xf numFmtId="0" fontId="6" fillId="0" borderId="18" xfId="0" applyNumberFormat="1" applyFont="1" applyFill="1" applyBorder="1"/>
    <x:xf numFmtId="0" fontId="6" fillId="0" borderId="19" xfId="0" applyNumberFormat="1" applyFont="1" applyFill="1" applyBorder="1"/>
    <x:xf numFmtId="0" fontId="6" fillId="0" borderId="20" xfId="0" applyNumberFormat="1" applyFont="1" applyFill="1" applyBorder="1"/>
    <x:xf numFmtId="0" fontId="6" fillId="0" borderId="21" xfId="0" applyNumberFormat="1" applyFont="1" applyFill="1" applyBorder="1"/>
    <x:xf numFmtId="0" fontId="6" fillId="0" borderId="22" xfId="0" applyNumberFormat="1" applyFont="1" applyFill="1" applyBorder="1"/>
    <x:xf numFmtId="0" fontId="6" fillId="0" borderId="23" xfId="0" applyNumberFormat="1" applyFont="1" applyFill="1" applyBorder="1"/>
    <x:xf numFmtId="0" fontId="6" fillId="0" borderId="16" xfId="0" applyNumberFormat="1" applyFont="1" applyFill="1" applyBorder="1" applyAlignment="1">
      <x:alignment wrapText="1"/>
    </x:xf>
    <x:xf numFmtId="0" fontId="6" fillId="0" borderId="17" xfId="0" applyNumberFormat="1" applyFont="1" applyFill="1" applyBorder="1" applyAlignment="1">
      <x:alignment wrapText="1"/>
    </x:xf>
    <x:xf numFmtId="0" fontId="6" fillId="0" borderId="18" xfId="0" applyNumberFormat="1" applyFont="1" applyFill="1" applyBorder="1" applyAlignment="1">
      <x:alignment wrapText="1"/>
    </x:xf>
    <x:xf numFmtId="0" fontId="6" fillId="0" borderId="19" xfId="0" applyNumberFormat="1" applyFont="1" applyFill="1" applyBorder="1" applyAlignment="1">
      <x:alignment wrapText="1"/>
    </x:xf>
    <x:xf numFmtId="0" fontId="6" fillId="0" borderId="1" xfId="0" applyNumberFormat="1" applyFont="1" applyFill="1" applyBorder="1" applyAlignment="1">
      <x:alignment wrapText="1"/>
    </x:xf>
    <x:xf numFmtId="0" fontId="6" fillId="0" borderId="2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19"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6" borderId="11"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6" borderId="12" xfId="0" applyNumberFormat="1" applyFont="1" applyFill="1" applyBorder="1" applyAlignment="1">
      <x:alignment vertical="top" wrapText="1"/>
    </x:xf>
    <x:xf numFmtId="0" fontId="6" fillId="6" borderId="19"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6" fillId="6" borderId="20" xfId="0" applyNumberFormat="1" applyFont="1" applyFill="1" applyBorder="1" applyAlignment="1">
      <x:alignment vertical="top" wrapText="1"/>
    </x:xf>
    <x:xf numFmtId="0" fontId="6" fillId="6" borderId="13" xfId="0" applyNumberFormat="1" applyFont="1" applyFill="1" applyBorder="1" applyAlignment="1">
      <x:alignment vertical="top" wrapText="1"/>
    </x:xf>
    <x:xf numFmtId="0" fontId="6" fillId="6" borderId="14" xfId="0" applyNumberFormat="1" applyFont="1" applyFill="1" applyBorder="1" applyAlignment="1">
      <x:alignment vertical="top" wrapText="1"/>
    </x:xf>
    <x:xf numFmtId="0" fontId="6" fillId="6" borderId="15" xfId="0" applyNumberFormat="1" applyFont="1" applyFill="1" applyBorder="1" applyAlignment="1">
      <x:alignment vertical="top" wrapText="1"/>
    </x:xf>
    <x:xf numFmtId="0" fontId="6" fillId="6" borderId="21" xfId="0" applyNumberFormat="1" applyFont="1" applyFill="1" applyBorder="1" applyAlignment="1">
      <x:alignment vertical="top" wrapText="1"/>
    </x:xf>
    <x:xf numFmtId="0" fontId="6" fillId="6" borderId="22" xfId="0" applyNumberFormat="1" applyFont="1" applyFill="1" applyBorder="1" applyAlignment="1">
      <x:alignment vertical="top" wrapText="1"/>
    </x:xf>
    <x:xf numFmtId="0" fontId="6" fillId="6" borderId="23" xfId="0" applyNumberFormat="1" applyFont="1" applyFill="1" applyBorder="1" applyAlignment="1">
      <x:alignment vertical="top" wrapText="1"/>
    </x:xf>
    <x:xf numFmtId="0" fontId="6" fillId="0" borderId="8" xfId="0" applyNumberFormat="1" applyFont="1" applyFill="1" applyBorder="1" applyAlignment="1">
      <x:alignment horizontal="center" vertical="top" wrapText="1"/>
    </x:xf>
    <x:xf numFmtId="0" fontId="6" fillId="6" borderId="11" xfId="0" applyNumberFormat="1" applyFont="1" applyFill="1" applyBorder="1" applyAlignment="1">
      <x:alignment horizontal="center" vertical="top" wrapText="1"/>
    </x:xf>
    <x:xf numFmtId="0" fontId="6" fillId="0" borderId="11" xfId="0" applyNumberFormat="1" applyFont="1" applyFill="1" applyBorder="1" applyAlignment="1">
      <x:alignment horizontal="center" vertical="top" wrapText="1"/>
    </x:xf>
    <x:xf numFmtId="0" fontId="6" fillId="6" borderId="13" xfId="0" applyNumberFormat="1" applyFont="1" applyFill="1" applyBorder="1" applyAlignment="1">
      <x:alignment horizontal="center" vertical="top" wrapText="1"/>
    </x:xf>
    <x:xf numFmtId="0" fontId="6" fillId="0" borderId="16" xfId="0" applyNumberFormat="1" applyFont="1" applyFill="1" applyBorder="1" applyAlignment="1">
      <x:alignment horizontal="center" vertical="top" wrapText="1"/>
    </x:xf>
    <x:xf numFmtId="0" fontId="6" fillId="6" borderId="19" xfId="0" applyNumberFormat="1" applyFont="1" applyFill="1" applyBorder="1" applyAlignment="1">
      <x:alignment horizontal="center" vertical="top" wrapText="1"/>
    </x:xf>
    <x:xf numFmtId="0" fontId="6" fillId="0" borderId="19" xfId="0" applyNumberFormat="1" applyFont="1" applyFill="1" applyBorder="1" applyAlignment="1">
      <x:alignment horizontal="center" vertical="top" wrapText="1"/>
    </x:xf>
    <x:xf numFmtId="0" fontId="6" fillId="6" borderId="21" xfId="0" applyNumberFormat="1" applyFont="1" applyFill="1" applyBorder="1" applyAlignment="1">
      <x:alignment horizontal="center" vertical="top" wrapText="1"/>
    </x:xf>
    <x:xf numFmtId="0" fontId="6" fillId="0" borderId="9" xfId="0" applyNumberFormat="1" applyFont="1" applyFill="1" applyBorder="1" applyAlignment="1">
      <x:alignment horizontal="center" vertical="top" wrapText="1"/>
    </x:xf>
    <x:xf numFmtId="0" fontId="6" fillId="6" borderId="0" xfId="0" applyNumberFormat="1" applyFont="1" applyFill="1" applyBorder="1" applyAlignment="1">
      <x:alignment horizontal="center" vertical="top" wrapText="1"/>
    </x:xf>
    <x:xf numFmtId="0" fontId="6" fillId="0" borderId="0" xfId="0" applyNumberFormat="1" applyFont="1" applyFill="1" applyBorder="1" applyAlignment="1">
      <x:alignment horizontal="center" vertical="top" wrapText="1"/>
    </x:xf>
    <x:xf numFmtId="0" fontId="6" fillId="6" borderId="14" xfId="0" applyNumberFormat="1" applyFont="1" applyFill="1" applyBorder="1" applyAlignment="1">
      <x:alignment horizontal="center" vertical="top" wrapText="1"/>
    </x:xf>
    <x:xf numFmtId="0" fontId="6" fillId="0" borderId="17" xfId="0" applyNumberFormat="1" applyFont="1" applyFill="1" applyBorder="1" applyAlignment="1">
      <x:alignment horizontal="center" vertical="top" wrapText="1"/>
    </x:xf>
    <x:xf numFmtId="0" fontId="6" fillId="6" borderId="1" xfId="0" applyNumberFormat="1" applyFont="1" applyFill="1" applyBorder="1" applyAlignment="1">
      <x:alignment horizontal="center" vertical="top" wrapText="1"/>
    </x:xf>
    <x:xf numFmtId="0" fontId="6" fillId="0" borderId="1" xfId="0" applyNumberFormat="1" applyFont="1" applyFill="1" applyBorder="1" applyAlignment="1">
      <x:alignment horizontal="center" vertical="top" wrapText="1"/>
    </x:xf>
    <x:xf numFmtId="0" fontId="6" fillId="6" borderId="22" xfId="0" applyNumberFormat="1" applyFont="1" applyFill="1" applyBorder="1" applyAlignment="1">
      <x:alignment horizontal="center" vertical="top" wrapText="1"/>
    </x:xf>
    <x:xf numFmtId="0" fontId="6" fillId="0" borderId="8" xfId="0" applyNumberFormat="1" applyFont="1" applyFill="1" applyBorder="1" applyAlignment="1">
      <x:alignment horizontal="center" vertical="center" wrapText="1"/>
    </x:xf>
    <x:xf numFmtId="0" fontId="6" fillId="6" borderId="11" xfId="0" applyNumberFormat="1" applyFont="1" applyFill="1" applyBorder="1" applyAlignment="1">
      <x:alignment horizontal="center" vertical="center" wrapText="1"/>
    </x:xf>
    <x:xf numFmtId="0" fontId="6" fillId="0" borderId="11" xfId="0" applyNumberFormat="1" applyFont="1" applyFill="1" applyBorder="1" applyAlignment="1">
      <x:alignment horizontal="center" vertical="center" wrapText="1"/>
    </x:xf>
    <x:xf numFmtId="0" fontId="6" fillId="6" borderId="13" xfId="0" applyNumberFormat="1" applyFont="1" applyFill="1" applyBorder="1" applyAlignment="1">
      <x:alignment horizontal="center" vertical="center" wrapText="1"/>
    </x:xf>
    <x:xf numFmtId="0" fontId="6" fillId="0" borderId="16" xfId="0" applyNumberFormat="1" applyFont="1" applyFill="1" applyBorder="1" applyAlignment="1">
      <x:alignment horizontal="center" vertical="center" wrapText="1"/>
    </x:xf>
    <x:xf numFmtId="0" fontId="6" fillId="6" borderId="19" xfId="0" applyNumberFormat="1" applyFont="1" applyFill="1" applyBorder="1" applyAlignment="1">
      <x:alignment horizontal="center" vertical="center" wrapText="1"/>
    </x:xf>
    <x:xf numFmtId="0" fontId="6" fillId="0" borderId="19" xfId="0" applyNumberFormat="1" applyFont="1" applyFill="1" applyBorder="1" applyAlignment="1">
      <x:alignment horizontal="center" vertical="center" wrapText="1"/>
    </x:xf>
    <x:xf numFmtId="0" fontId="6" fillId="6" borderId="21" xfId="0" applyNumberFormat="1" applyFont="1" applyFill="1" applyBorder="1" applyAlignment="1">
      <x:alignment horizontal="center" vertical="center" wrapText="1"/>
    </x:xf>
    <x:xf numFmtId="0" fontId="7" fillId="0" borderId="9"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top" wrapText="1"/>
    </x:xf>
    <x:xf numFmtId="0" fontId="7" fillId="0" borderId="0" xfId="0" applyNumberFormat="1" applyFont="1" applyFill="1" applyBorder="1" applyAlignment="1">
      <x:alignment horizontal="center" vertical="top" wrapText="1"/>
    </x:xf>
    <x:xf numFmtId="0" fontId="7" fillId="6" borderId="14" xfId="0" applyNumberFormat="1" applyFont="1" applyFill="1" applyBorder="1" applyAlignment="1">
      <x:alignment horizontal="center" vertical="top" wrapText="1"/>
    </x:xf>
    <x:xf numFmtId="0" fontId="7" fillId="0" borderId="17" xfId="0" applyNumberFormat="1" applyFont="1" applyFill="1" applyBorder="1" applyAlignment="1">
      <x:alignment horizontal="center" vertical="top" wrapText="1"/>
    </x:xf>
    <x:xf numFmtId="0" fontId="7" fillId="6" borderId="1" xfId="0" applyNumberFormat="1" applyFont="1" applyFill="1" applyBorder="1" applyAlignment="1">
      <x:alignment horizontal="center" vertical="top" wrapText="1"/>
    </x:xf>
    <x:xf numFmtId="0" fontId="7" fillId="0" borderId="1" xfId="0" applyNumberFormat="1" applyFont="1" applyFill="1" applyBorder="1" applyAlignment="1">
      <x:alignment horizontal="center" vertical="top" wrapText="1"/>
    </x:xf>
    <x:xf numFmtId="0" fontId="7" fillId="6" borderId="22" xfId="0" applyNumberFormat="1" applyFont="1" applyFill="1" applyBorder="1" applyAlignment="1">
      <x:alignment horizontal="center" vertical="top"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center" wrapText="1"/>
    </x:xf>
    <x:xf numFmtId="0" fontId="8" fillId="3" borderId="1" xfId="0" applyNumberFormat="1" applyFont="1" applyFill="1" applyBorder="1"/>
    <x:xf numFmtId="0" fontId="8" fillId="3" borderId="1" xfId="0" applyNumberFormat="1" applyFont="1" applyFill="1" applyBorder="1" applyAlignment="1">
      <x:alignment wrapText="1"/>
    </x:xf>
    <x:xf numFmtId="0" fontId="8" fillId="3" borderId="1" xfId="0" applyNumberFormat="1" applyFont="1" applyFill="1" applyBorder="1" applyAlignment="1">
      <x:alignment vertical="center" wrapText="1"/>
    </x:xf>
    <x:xf numFmtId="0" fontId="6" fillId="0" borderId="13" xfId="0" applyNumberFormat="1" applyFont="1" applyFill="1" applyBorder="1" applyAlignment="1">
      <x:alignment horizontal="center" vertical="top" wrapText="1"/>
    </x:xf>
    <x:xf numFmtId="0" fontId="6" fillId="0" borderId="21" xfId="0" applyNumberFormat="1" applyFont="1" applyFill="1" applyBorder="1" applyAlignment="1">
      <x:alignment horizontal="center" vertical="top" wrapText="1"/>
    </x:xf>
    <x:xf numFmtId="0" fontId="6" fillId="0" borderId="13" xfId="0" applyNumberFormat="1" applyFont="1" applyFill="1" applyBorder="1" applyAlignment="1">
      <x:alignment horizontal="center" vertical="center" wrapText="1"/>
    </x:xf>
    <x:xf numFmtId="0" fontId="6" fillId="0" borderId="21" xfId="0" applyNumberFormat="1" applyFont="1" applyFill="1" applyBorder="1" applyAlignment="1">
      <x:alignment horizontal="center" vertical="center" wrapText="1"/>
    </x:xf>
    <x:xf numFmtId="0" fontId="1" fillId="7" borderId="0" xfId="0" applyNumberFormat="1" applyFont="1" applyFill="1" applyBorder="1" applyAlignment="1">
      <x:alignment vertical="center"/>
    </x:xf>
    <x:xf numFmtId="0" fontId="1" fillId="7" borderId="0" xfId="0" applyNumberFormat="1" applyFont="1" applyFill="1" applyBorder="1" applyAlignment="1">
      <x:alignment horizontal="left" vertical="center"/>
    </x:xf>
    <x:xf numFmtId="0" fontId="2" fillId="8" borderId="0" xfId="0" applyNumberFormat="1" applyFont="1" applyFill="1" applyBorder="1" applyAlignment="1">
      <x:alignment vertical="center" wrapText="1"/>
    </x:xf>
    <x:xf numFmtId="0" fontId="8" fillId="8" borderId="0" xfId="0" applyNumberFormat="1" applyFont="1" applyFill="1" applyBorder="1" applyAlignment="1">
      <x:alignment vertical="center" wrapText="1"/>
    </x:xf>
    <x:xf numFmtId="0" fontId="4" fillId="8" borderId="0" xfId="0" applyNumberFormat="1" applyFont="1" applyFill="1" applyBorder="1" applyAlignment="1">
      <x:alignment vertical="center"/>
    </x:xf>
    <x:xf numFmtId="0" fontId="9" fillId="8" borderId="0" xfId="0" applyNumberFormat="1" applyFont="1" applyFill="1" applyBorder="1" applyAlignment="1">
      <x:alignment vertical="center"/>
    </x:xf>
    <x:xf numFmtId="0" fontId="5" fillId="9" borderId="2" xfId="0" applyNumberFormat="1" applyFont="1" applyFill="1" applyBorder="1" applyAlignment="1">
      <x:alignment horizontal="center" vertical="center" wrapText="1"/>
    </x:xf>
    <x:xf numFmtId="0" fontId="5" fillId="9" borderId="3" xfId="0" applyNumberFormat="1" applyFont="1" applyFill="1" applyBorder="1" applyAlignment="1">
      <x:alignment horizontal="center" vertical="center" wrapText="1"/>
    </x:xf>
    <x:xf numFmtId="0" fontId="5" fillId="9" borderId="4" xfId="0" applyNumberFormat="1" applyFont="1" applyFill="1" applyBorder="1" applyAlignment="1">
      <x:alignment horizontal="center" vertical="center" wrapText="1"/>
    </x:xf>
    <x:xf numFmtId="0" fontId="6" fillId="10" borderId="8" xfId="0" applyNumberFormat="1" applyFont="1" applyFill="1" applyBorder="1" applyAlignment="1">
      <x:alignment vertical="top" wrapText="1"/>
    </x:xf>
    <x:xf numFmtId="0" fontId="6" fillId="10" borderId="9" xfId="0" applyNumberFormat="1" applyFont="1" applyFill="1" applyBorder="1" applyAlignment="1">
      <x:alignment vertical="top" wrapText="1"/>
    </x:xf>
    <x:xf numFmtId="0" fontId="6" fillId="10" borderId="10" xfId="0" applyNumberFormat="1" applyFont="1" applyFill="1" applyBorder="1" applyAlignment="1">
      <x:alignment vertical="top" wrapText="1"/>
    </x:xf>
    <x:xf numFmtId="0" fontId="6" fillId="10" borderId="8" xfId="0" applyNumberFormat="1" applyFont="1" applyFill="1" applyBorder="1" applyAlignment="1">
      <x:alignment horizontal="center" vertical="top" wrapText="1"/>
    </x:xf>
    <x:xf numFmtId="0" fontId="6" fillId="11" borderId="11"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borderId="12" xfId="0" applyNumberFormat="1" applyFont="1" applyFill="1" applyBorder="1" applyAlignment="1">
      <x:alignment vertical="top" wrapText="1"/>
    </x:xf>
    <x:xf numFmtId="0" fontId="6" fillId="11" borderId="11" xfId="0" applyNumberFormat="1" applyFont="1" applyFill="1" applyBorder="1" applyAlignment="1">
      <x:alignment horizontal="center" vertical="top" wrapText="1"/>
    </x:xf>
    <x:xf numFmtId="0" fontId="6" fillId="10" borderId="13" xfId="0" applyNumberFormat="1" applyFont="1" applyFill="1" applyBorder="1" applyAlignment="1">
      <x:alignment vertical="top" wrapText="1"/>
    </x:xf>
    <x:xf numFmtId="0" fontId="6" fillId="10" borderId="14" xfId="0" applyNumberFormat="1" applyFont="1" applyFill="1" applyBorder="1" applyAlignment="1">
      <x:alignment vertical="top" wrapText="1"/>
    </x:xf>
    <x:xf numFmtId="0" fontId="6" fillId="10" borderId="15" xfId="0" applyNumberFormat="1" applyFont="1" applyFill="1" applyBorder="1" applyAlignment="1">
      <x:alignment vertical="top" wrapText="1"/>
    </x:xf>
    <x:xf numFmtId="0" fontId="6" fillId="10" borderId="13" xfId="0" applyNumberFormat="1" applyFont="1" applyFill="1" applyBorder="1" applyAlignment="1">
      <x:alignment horizontal="center" vertical="top" wrapText="1"/>
    </x:xf>
    <x:xf numFmtId="0" fontId="6" fillId="10" borderId="8" xfId="0" applyNumberFormat="1" applyFont="1" applyFill="1" applyBorder="1" applyAlignment="1">
      <x:alignment horizontal="center" vertical="center" wrapText="1"/>
    </x:xf>
    <x:xf numFmtId="0" fontId="6" fillId="10" borderId="9" xfId="0" applyNumberFormat="1" applyFont="1" applyFill="1" applyBorder="1" applyAlignment="1">
      <x:alignment horizontal="center" vertical="top" wrapText="1"/>
    </x:xf>
    <x:xf numFmtId="0" fontId="7" fillId="10" borderId="9" xfId="0" applyNumberFormat="1" applyFont="1" applyFill="1" applyBorder="1" applyAlignment="1">
      <x:alignment horizontal="center" vertical="top" wrapText="1"/>
    </x:xf>
    <x:xf numFmtId="0" fontId="10" fillId="10" borderId="9" xfId="0" applyNumberFormat="1" applyFont="1" applyFill="1" applyBorder="1" applyAlignment="1">
      <x:alignment horizontal="center" vertical="top" wrapText="1"/>
    </x:xf>
    <x:xf numFmtId="0" fontId="11" fillId="10" borderId="9" xfId="0" applyNumberFormat="1" applyFont="1" applyFill="1" applyBorder="1" applyAlignment="1">
      <x:alignment horizontal="center" vertical="top" wrapText="1"/>
    </x:xf>
    <x:xf numFmtId="0" fontId="6" fillId="11" borderId="11" xfId="0" applyNumberFormat="1" applyFont="1" applyFill="1" applyBorder="1" applyAlignment="1">
      <x:alignment horizontal="center" vertical="center" wrapText="1"/>
    </x:xf>
    <x:xf numFmtId="0" fontId="6" fillId="11" borderId="0" xfId="0" applyNumberFormat="1" applyFont="1" applyFill="1" applyBorder="1" applyAlignment="1">
      <x:alignment horizontal="center" vertical="top" wrapText="1"/>
    </x:xf>
    <x:xf numFmtId="0" fontId="7" fillId="11" borderId="0" xfId="0" applyNumberFormat="1" applyFont="1" applyFill="1" applyBorder="1" applyAlignment="1">
      <x:alignment horizontal="center" vertical="top" wrapText="1"/>
    </x:xf>
    <x:xf numFmtId="0" fontId="10" fillId="11" borderId="0" xfId="0" applyNumberFormat="1" applyFont="1" applyFill="1" applyBorder="1" applyAlignment="1">
      <x:alignment horizontal="center" vertical="top" wrapText="1"/>
    </x:xf>
    <x:xf numFmtId="0" fontId="11" fillId="11" borderId="0" xfId="0" applyNumberFormat="1" applyFont="1" applyFill="1" applyBorder="1" applyAlignment="1">
      <x:alignment horizontal="center" vertical="top" wrapText="1"/>
    </x:xf>
    <x:xf numFmtId="0" fontId="6" fillId="10" borderId="11" xfId="0" applyNumberFormat="1" applyFont="1" applyFill="1" applyBorder="1" applyAlignment="1">
      <x:alignment horizontal="center" vertical="center" wrapText="1"/>
    </x:xf>
    <x:xf numFmtId="0" fontId="6" fillId="10" borderId="0" xfId="0" applyNumberFormat="1" applyFont="1" applyFill="1" applyBorder="1" applyAlignment="1">
      <x:alignment vertical="top" wrapText="1"/>
    </x:xf>
    <x:xf numFmtId="0" fontId="6" fillId="10" borderId="0" xfId="0" applyNumberFormat="1" applyFont="1" applyFill="1" applyBorder="1" applyAlignment="1">
      <x:alignment horizontal="center" vertical="top" wrapText="1"/>
    </x:xf>
    <x:xf numFmtId="0" fontId="7" fillId="10" borderId="0" xfId="0" applyNumberFormat="1" applyFont="1" applyFill="1" applyBorder="1" applyAlignment="1">
      <x:alignment horizontal="center" vertical="top" wrapText="1"/>
    </x:xf>
    <x:xf numFmtId="0" fontId="6" fillId="10" borderId="12" xfId="0" applyNumberFormat="1" applyFont="1" applyFill="1" applyBorder="1" applyAlignment="1">
      <x:alignment vertical="top" wrapText="1"/>
    </x:xf>
    <x:xf numFmtId="0" fontId="10" fillId="10" borderId="0" xfId="0" applyNumberFormat="1" applyFont="1" applyFill="1" applyBorder="1" applyAlignment="1">
      <x:alignment horizontal="center" vertical="top" wrapText="1"/>
    </x:xf>
    <x:xf numFmtId="0" fontId="6" fillId="10" borderId="11" xfId="0" applyNumberFormat="1" applyFont="1" applyFill="1" applyBorder="1" applyAlignment="1">
      <x:alignment horizontal="center" vertical="top" wrapText="1"/>
    </x:xf>
    <x:xf numFmtId="0" fontId="11" fillId="10" borderId="0" xfId="0" applyNumberFormat="1" applyFont="1" applyFill="1" applyBorder="1" applyAlignment="1">
      <x:alignment horizontal="center" vertical="top" wrapText="1"/>
    </x:xf>
    <x:xf numFmtId="0" fontId="12" fillId="10" borderId="0" xfId="0" applyNumberFormat="1" applyFont="1" applyFill="1" applyBorder="1" applyAlignment="1">
      <x:alignment horizontal="center" vertical="top" wrapText="1"/>
    </x:xf>
    <x:xf numFmtId="0" fontId="12" fillId="11" borderId="0" xfId="0" applyNumberFormat="1" applyFont="1" applyFill="1" applyBorder="1" applyAlignment="1">
      <x:alignment horizontal="center" vertical="top" wrapText="1"/>
    </x:xf>
    <x:xf numFmtId="0" fontId="6" fillId="11" borderId="13" xfId="0" applyNumberFormat="1" applyFont="1" applyFill="1" applyBorder="1" applyAlignment="1">
      <x:alignment horizontal="center" vertical="center" wrapText="1"/>
    </x:xf>
    <x:xf numFmtId="0" fontId="6" fillId="11" borderId="14" xfId="0" applyNumberFormat="1" applyFont="1" applyFill="1" applyBorder="1" applyAlignment="1">
      <x:alignment vertical="top" wrapText="1"/>
    </x:xf>
    <x:xf numFmtId="0" fontId="6" fillId="11" borderId="14" xfId="0" applyNumberFormat="1" applyFont="1" applyFill="1" applyBorder="1" applyAlignment="1">
      <x:alignment horizontal="center" vertical="top" wrapText="1"/>
    </x:xf>
    <x:xf numFmtId="0" fontId="7" fillId="11" borderId="14" xfId="0" applyNumberFormat="1" applyFont="1" applyFill="1" applyBorder="1" applyAlignment="1">
      <x:alignment horizontal="center" vertical="top" wrapText="1"/>
    </x:xf>
    <x:xf numFmtId="0" fontId="6" fillId="11" borderId="15" xfId="0" applyNumberFormat="1" applyFont="1" applyFill="1" applyBorder="1" applyAlignment="1">
      <x:alignment vertical="top" wrapText="1"/>
    </x:xf>
    <x:xf numFmtId="0" fontId="10" fillId="11" borderId="14" xfId="0" applyNumberFormat="1" applyFont="1" applyFill="1" applyBorder="1" applyAlignment="1">
      <x:alignment horizontal="center" vertical="top" wrapText="1"/>
    </x:xf>
    <x:xf numFmtId="0" fontId="6" fillId="11" borderId="13" xfId="0" applyNumberFormat="1" applyFont="1" applyFill="1" applyBorder="1" applyAlignment="1">
      <x:alignment horizontal="center" vertical="top" wrapText="1"/>
    </x:xf>
    <x:xf numFmtId="0" fontId="12" fillId="11" borderId="14" xfId="0" applyNumberFormat="1" applyFont="1" applyFill="1" applyBorder="1" applyAlignment="1">
      <x:alignment horizontal="center" vertical="top" wrapText="1"/>
    </x:xf>
    <x:xf numFmtId="0" fontId="1" fillId="12" borderId="0" xfId="0" applyNumberFormat="1" applyFont="1" applyFill="1" applyBorder="1" applyAlignment="1">
      <x:alignment horizontal="left" vertical="center"/>
    </x:xf>
    <x:xf numFmtId="0" fontId="2" fillId="13" borderId="0" xfId="0" applyNumberFormat="1" applyFont="1" applyFill="1" applyBorder="1" applyAlignment="1">
      <x:alignment vertical="center" wrapText="1"/>
    </x:xf>
    <x:xf numFmtId="0" fontId="3" fillId="14" borderId="0" xfId="0" applyNumberFormat="1" applyFont="1" applyFill="1" applyBorder="1" applyAlignment="1">
      <x:alignment vertical="center" wrapText="1"/>
    </x:xf>
    <x:xf numFmtId="0" fontId="5" fillId="15" borderId="2" xfId="0" applyNumberFormat="1" applyFont="1" applyFill="1" applyBorder="1" applyAlignment="1">
      <x:alignment horizontal="center" vertical="center" wrapText="1"/>
    </x:xf>
    <x:xf numFmtId="0" fontId="5" fillId="15" borderId="3" xfId="0" applyNumberFormat="1" applyFont="1" applyFill="1" applyBorder="1" applyAlignment="1">
      <x:alignment horizontal="center" vertical="center" wrapText="1"/>
    </x:xf>
    <x:xf numFmtId="0" fontId="5" fillId="15" borderId="4" xfId="0" applyNumberFormat="1" applyFont="1" applyFill="1" applyBorder="1" applyAlignment="1">
      <x:alignment horizontal="center" vertical="center" wrapText="1"/>
    </x:xf>
    <x:xf numFmtId="0" fontId="6" fillId="16" borderId="8" xfId="0" applyNumberFormat="1" applyFont="1" applyFill="1" applyBorder="1" applyAlignment="1">
      <x:alignment horizontal="center" vertical="center" wrapText="1"/>
    </x:xf>
    <x:xf numFmtId="0" fontId="6" fillId="16" borderId="9" xfId="0" applyNumberFormat="1" applyFont="1" applyFill="1" applyBorder="1" applyAlignment="1">
      <x:alignment vertical="top" wrapText="1"/>
    </x:xf>
    <x:xf numFmtId="0" fontId="6" fillId="16" borderId="10" xfId="0" applyNumberFormat="1" applyFont="1" applyFill="1" applyBorder="1" applyAlignment="1">
      <x:alignment vertical="top" wrapText="1"/>
    </x:xf>
    <x:xf numFmtId="0" fontId="6" fillId="16" borderId="8" xfId="0" applyNumberFormat="1" applyFont="1" applyFill="1" applyBorder="1" applyAlignment="1">
      <x:alignment horizontal="center" vertical="top" wrapText="1"/>
    </x:xf>
    <x:xf numFmtId="0" fontId="6" fillId="17" borderId="11" xfId="0" applyNumberFormat="1" applyFont="1" applyFill="1" applyBorder="1" applyAlignment="1">
      <x:alignment horizontal="center" vertical="center" wrapText="1"/>
    </x:xf>
    <x:xf numFmtId="0" fontId="6" fillId="17" borderId="0" xfId="0" applyNumberFormat="1" applyFont="1" applyFill="1" applyBorder="1" applyAlignment="1">
      <x:alignment vertical="top" wrapText="1"/>
    </x:xf>
    <x:xf numFmtId="0" fontId="6" fillId="17" borderId="12" xfId="0" applyNumberFormat="1" applyFont="1" applyFill="1" applyBorder="1" applyAlignment="1">
      <x:alignment vertical="top" wrapText="1"/>
    </x:xf>
    <x:xf numFmtId="0" fontId="6" fillId="17" borderId="11" xfId="0" applyNumberFormat="1" applyFont="1" applyFill="1" applyBorder="1" applyAlignment="1">
      <x:alignment horizontal="center" vertical="top" wrapText="1"/>
    </x:xf>
    <x:xf numFmtId="0" fontId="6" fillId="16" borderId="11" xfId="0" applyNumberFormat="1" applyFont="1" applyFill="1" applyBorder="1" applyAlignment="1">
      <x:alignment horizontal="center" vertical="center" wrapText="1"/>
    </x:xf>
    <x:xf numFmtId="0" fontId="6" fillId="16" borderId="0" xfId="0" applyNumberFormat="1" applyFont="1" applyFill="1" applyBorder="1" applyAlignment="1">
      <x:alignment vertical="top" wrapText="1"/>
    </x:xf>
    <x:xf numFmtId="0" fontId="6" fillId="16" borderId="12" xfId="0" applyNumberFormat="1" applyFont="1" applyFill="1" applyBorder="1" applyAlignment="1">
      <x:alignment vertical="top" wrapText="1"/>
    </x:xf>
    <x:xf numFmtId="0" fontId="6" fillId="16" borderId="11" xfId="0" applyNumberFormat="1" applyFont="1" applyFill="1" applyBorder="1" applyAlignment="1">
      <x:alignment horizontal="center" vertical="top" wrapText="1"/>
    </x:xf>
    <x:xf numFmtId="0" fontId="6" fillId="16" borderId="13" xfId="0" applyNumberFormat="1" applyFont="1" applyFill="1" applyBorder="1" applyAlignment="1">
      <x:alignment horizontal="center" vertical="center" wrapText="1"/>
    </x:xf>
    <x:xf numFmtId="0" fontId="6" fillId="16" borderId="14" xfId="0" applyNumberFormat="1" applyFont="1" applyFill="1" applyBorder="1" applyAlignment="1">
      <x:alignment vertical="top" wrapText="1"/>
    </x:xf>
    <x:xf numFmtId="0" fontId="6" fillId="16" borderId="15" xfId="0" applyNumberFormat="1" applyFont="1" applyFill="1" applyBorder="1" applyAlignment="1">
      <x:alignment vertical="top" wrapText="1"/>
    </x:xf>
    <x:xf numFmtId="0" fontId="6" fillId="16" borderId="13" xfId="0" applyNumberFormat="1" applyFont="1" applyFill="1" applyBorder="1" applyAlignment="1">
      <x:alignment horizontal="center" vertical="top" wrapText="1"/>
    </x:xf>
    <x:xf numFmtId="0" fontId="6" fillId="16" borderId="8" xfId="0" applyNumberFormat="1" applyFont="1" applyFill="1" applyBorder="1" applyAlignment="1">
      <x:alignment vertical="top" wrapText="1"/>
    </x:xf>
    <x:xf numFmtId="0" fontId="6" fillId="17" borderId="11" xfId="0" applyNumberFormat="1" applyFont="1" applyFill="1" applyBorder="1" applyAlignment="1">
      <x:alignment vertical="top" wrapText="1"/>
    </x:xf>
    <x:xf numFmtId="0" fontId="6" fillId="16" borderId="11" xfId="0" applyNumberFormat="1" applyFont="1" applyFill="1" applyBorder="1" applyAlignment="1">
      <x:alignment vertical="top" wrapText="1"/>
    </x:xf>
    <x:xf numFmtId="0" fontId="6" fillId="16" borderId="13" xfId="0" applyNumberFormat="1" applyFont="1" applyFill="1" applyBorder="1" applyAlignment="1">
      <x:alignment vertical="top" wrapText="1"/>
    </x:xf>
    <x:xf numFmtId="0" fontId="6" fillId="16" borderId="9" xfId="0" applyNumberFormat="1" applyFont="1" applyFill="1" applyBorder="1" applyAlignment="1">
      <x:alignment horizontal="center" vertical="top" wrapText="1"/>
    </x:xf>
    <x:xf numFmtId="0" fontId="11" fillId="16" borderId="9" xfId="0" applyNumberFormat="1" applyFont="1" applyFill="1" applyBorder="1" applyAlignment="1">
      <x:alignment horizontal="center" vertical="top" wrapText="1"/>
    </x:xf>
    <x:xf numFmtId="0" fontId="10" fillId="16" borderId="9" xfId="0" applyNumberFormat="1" applyFont="1" applyFill="1" applyBorder="1" applyAlignment="1">
      <x:alignment horizontal="center" vertical="top" wrapText="1"/>
    </x:xf>
    <x:xf numFmtId="0" fontId="6" fillId="17" borderId="0" xfId="0" applyNumberFormat="1" applyFont="1" applyFill="1" applyBorder="1" applyAlignment="1">
      <x:alignment horizontal="center" vertical="top" wrapText="1"/>
    </x:xf>
    <x:xf numFmtId="0" fontId="11" fillId="17" borderId="0" xfId="0" applyNumberFormat="1" applyFont="1" applyFill="1" applyBorder="1" applyAlignment="1">
      <x:alignment horizontal="center" vertical="top" wrapText="1"/>
    </x:xf>
    <x:xf numFmtId="0" fontId="10" fillId="17" borderId="0" xfId="0" applyNumberFormat="1" applyFont="1" applyFill="1" applyBorder="1" applyAlignment="1">
      <x:alignment horizontal="center" vertical="top" wrapText="1"/>
    </x:xf>
    <x:xf numFmtId="0" fontId="6" fillId="16" borderId="0" xfId="0" applyNumberFormat="1" applyFont="1" applyFill="1" applyBorder="1" applyAlignment="1">
      <x:alignment horizontal="center" vertical="top" wrapText="1"/>
    </x:xf>
    <x:xf numFmtId="0" fontId="11" fillId="16" borderId="0" xfId="0" applyNumberFormat="1" applyFont="1" applyFill="1" applyBorder="1" applyAlignment="1">
      <x:alignment horizontal="center" vertical="top" wrapText="1"/>
    </x:xf>
    <x:xf numFmtId="0" fontId="10"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top" wrapText="1"/>
    </x:xf>
    <x:xf numFmtId="0" fontId="12" fillId="17" borderId="0" xfId="0" applyNumberFormat="1" applyFont="1" applyFill="1" applyBorder="1" applyAlignment="1">
      <x:alignment horizontal="center" vertical="top" wrapText="1"/>
    </x:xf>
    <x:xf numFmtId="0" fontId="6" fillId="17" borderId="13" xfId="0" applyNumberFormat="1" applyFont="1" applyFill="1" applyBorder="1" applyAlignment="1">
      <x:alignment horizontal="center" vertical="top" wrapText="1"/>
    </x:xf>
    <x:xf numFmtId="0" fontId="6" fillId="17" borderId="14" xfId="0" applyNumberFormat="1" applyFont="1" applyFill="1" applyBorder="1" applyAlignment="1">
      <x:alignment vertical="top" wrapText="1"/>
    </x:xf>
    <x:xf numFmtId="0" fontId="6" fillId="17" borderId="14" xfId="0" applyNumberFormat="1" applyFont="1" applyFill="1" applyBorder="1" applyAlignment="1">
      <x:alignment horizontal="center" vertical="top" wrapText="1"/>
    </x:xf>
    <x:xf numFmtId="0" fontId="12" fillId="17" borderId="14" xfId="0" applyNumberFormat="1" applyFont="1" applyFill="1" applyBorder="1" applyAlignment="1">
      <x:alignment horizontal="center" vertical="top" wrapText="1"/>
    </x:xf>
    <x:xf numFmtId="0" fontId="6" fillId="17" borderId="15" xfId="0" applyNumberFormat="1" applyFont="1" applyFill="1" applyBorder="1" applyAlignment="1">
      <x:alignment vertical="top" wrapText="1"/>
    </x:xf>
    <x:xf numFmtId="0" fontId="10" fillId="17" borderId="14" xfId="0" applyNumberFormat="1" applyFont="1" applyFill="1" applyBorder="1" applyAlignment="1">
      <x:alignment horizontal="center" vertical="top" wrapText="1"/>
    </x:xf>
    <x:xf numFmtId="0" fontId="9" fillId="13" borderId="0" xfId="0" applyNumberFormat="1" applyFont="1" applyFill="1" applyBorder="1" applyAlignment="1">
      <x:alignment vertical="center"/>
    </x:xf>
  </x:cellXfs>
  <x:cellStyles count="1">
    <x:cellStyle name="Normal" xfId="0"/>
  </x:cellStyles>
  <x:dxfs count="2">
    <x:dxf>
      <x:font>
        <x:b/>
        <x:color rgb="FF006100"/>
      </x:font>
      <x:fill>
        <x:patternFill>
          <x:bgColor rgb="FFE2F0D9"/>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8fcf69ca7d443f" /><Relationship Type="http://schemas.openxmlformats.org/officeDocument/2006/relationships/theme" Target="/xl/theme/theme1.xml" Id="R52889c483bcc4019" /><Relationship Type="http://schemas.openxmlformats.org/officeDocument/2006/relationships/sharedStrings" Target="/xl/sharedStrings.xml" Id="R17a0bb49caf64d6e" /><Relationship Type="http://schemas.openxmlformats.org/officeDocument/2006/relationships/worksheet" Target="/xl/worksheets/sheet1.xml" Id="R09cd38174b434322" /><Relationship Type="http://schemas.openxmlformats.org/officeDocument/2006/relationships/worksheet" Target="/xl/worksheets/sheet2.xml" Id="R8046db7e7e6a4a6f" /><Relationship Type="http://schemas.openxmlformats.org/officeDocument/2006/relationships/worksheet" Target="/xl/worksheets/sheet3.xml" Id="Ra7d0889eb9af4ac8" /></Relationships>
</file>

<file path=xl/tables/table1.xml><?xml version="1.0" encoding="utf-8"?>
<x:table xmlns:x="http://schemas.openxmlformats.org/spreadsheetml/2006/main" id="1" name="MadridStudentHousingInventory" displayName="MadridStudentHousingInventory" ref="A12:M34" headerRowCount="1">
  <x:tableColumns count="13">
    <x:tableColumn id="1" name="Rank"/>
    <x:tableColumn id="2" name="Document name (official Spanish title)"/>
    <x:tableColumn id="3" name="English translation"/>
    <x:tableColumn id="4" name="Issuing authority"/>
    <x:tableColumn id="5" name="Jurisdiction level"/>
    <x:tableColumn id="6" name="Year / version / effective date"/>
    <x:tableColumn id="7" name="Official source URL(s)"/>
    <x:tableColumn id="8" name="Format available"/>
    <x:tableColumn id="9" name="Language(s)"/>
    <x:tableColumn id="10" name="What it covers"/>
    <x:tableColumn id="11" name="Contains quantitative thresholds?"/>
    <x:tableColumn id="12" name="Concrete quantitative examples"/>
    <x:tableColumn id="13" name="Relationship to other levels"/>
  </x:tableColumns>
  <x:tableStyleInfo name="TableStyleMedium2" showRowStripes="1"/>
</x:table>
</file>

<file path=xl/tables/table2.xml><?xml version="1.0" encoding="utf-8"?>
<x:table xmlns:x="http://schemas.openxmlformats.org/spreadsheetml/2006/main" id="2" name="MadridIngestFirst" displayName="MadridIngestFirst" ref="A4:D9" headerRowCount="1">
  <x:tableColumns count="4">
    <x:tableColumn id="1" name="Priority"/>
    <x:tableColumn id="2" name="Document / package"/>
    <x:tableColumn id="3" name="Why ingest first"/>
    <x:tableColumn id="4" name="Key rule domains"/>
  </x:tableColumns>
  <x:tableStyleInfo name="TableStyleMedium2" showRowStripes="1"/>
</x:table>
</file>

<file path=xl/tables/table3.xml><?xml version="1.0" encoding="utf-8"?>
<x:table xmlns:x="http://schemas.openxmlformats.org/spreadsheetml/2006/main" id="3" name="MadridOpenGaps" displayName="MadridOpenGaps" ref="A4:C15" headerRowCount="1">
  <x:tableColumns count="3">
    <x:tableColumn id="1" name="Open item"/>
    <x:tableColumn id="2" name="Why it matters"/>
    <x:tableColumn id="3" name="How to resolve@Web search"/>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d82b087189846cf" /></Relationships>
</file>

<file path=xl/worksheets/_rels/sheet2.xml.rels>&#65279;<?xml version="1.0" encoding="utf-8"?><Relationships xmlns="http://schemas.openxmlformats.org/package/2006/relationships"><Relationship Type="http://schemas.openxmlformats.org/officeDocument/2006/relationships/table" Target="/xl/tables/table2.xml" Id="R07e825fcf2684224" /></Relationships>
</file>

<file path=xl/worksheets/_rels/sheet3.xml.rels>&#65279;<?xml version="1.0" encoding="utf-8"?><Relationships xmlns="http://schemas.openxmlformats.org/package/2006/relationships"><Relationship Type="http://schemas.openxmlformats.org/officeDocument/2006/relationships/table" Target="/xl/tables/table3.xml" Id="R93b1cc5ef1534d78" /></Relationships>
</file>

<file path=xl/worksheets/sheet1.xml><?xml version="1.0" encoding="utf-8"?>
<x:worksheet xmlns:x="http://schemas.openxmlformats.org/spreadsheetml/2006/main">
  <x:sheetFormatPr defaultRowHeight="15"/>
  <x:cols>
    <x:col min="1" max="1" width="7" hidden="0" customWidth="1"/>
    <x:col min="2" max="2" width="46" hidden="0" customWidth="1"/>
    <x:col min="3" max="3" width="35" hidden="0" customWidth="1"/>
    <x:col min="4" max="4" width="30" hidden="0" customWidth="1"/>
    <x:col min="5" max="5" width="25" hidden="0" customWidth="1"/>
    <x:col min="6" max="6" width="38" hidden="0" customWidth="1"/>
    <x:col min="7" max="7" width="48" hidden="0" customWidth="1"/>
    <x:col min="8" max="8" width="17" hidden="0" customWidth="1"/>
    <x:col min="9" max="9" width="12" hidden="0" customWidth="1"/>
    <x:col min="10" max="10" width="50" hidden="0" customWidth="1"/>
    <x:col min="11" max="11" width="18" hidden="0" customWidth="1"/>
    <x:col min="12" max="12" width="54" hidden="0" customWidth="1"/>
    <x:col min="13" max="13" width="52" hidden="0" customWidth="1"/>
  </x:cols>
  <x:sheetData>
    <x:row r="1" ht="28" customHeight="1">
      <x:c r="A1" s="213" t="str">
        <x:v>Spain — Student Housing Conversion Regulatory Stack: State + Comunidad de Madrid + Madrid City</x:v>
      </x:c>
      <x:c r="B1" s="213"/>
      <x:c r="C1" s="213"/>
      <x:c r="D1" s="213"/>
      <x:c r="E1" s="213"/>
      <x:c r="F1" s="213"/>
      <x:c r="G1" s="213"/>
      <x:c r="H1" s="213"/>
      <x:c r="I1" s="213"/>
      <x:c r="J1" s="213"/>
      <x:c r="K1" s="213"/>
      <x:c r="L1" s="213"/>
      <x:c r="M1" s="213"/>
    </x:row>
    <x:row r="2" ht="34" customHeight="1">
      <x:c r="A2" s="214" t="str">
        <x:v>Scope: conversion of office, commercial or residential property into student housing in the municipality of Madrid. Research cut-off: 30 July 2026. Rows are grouped by jurisdiction, and numbering follows the displayed order. Links reverified against live official pages and corrected: 2 August 2026.</x:v>
      </x:c>
      <x:c r="B2" s="214"/>
      <x:c r="C2" s="214"/>
      <x:c r="D2" s="214"/>
      <x:c r="E2" s="214"/>
      <x:c r="F2" s="214"/>
      <x:c r="G2" s="214"/>
      <x:c r="H2" s="214"/>
      <x:c r="I2" s="214"/>
      <x:c r="J2" s="214"/>
      <x:c r="K2" s="214"/>
      <x:c r="L2" s="214"/>
      <x:c r="M2" s="214"/>
    </x:row>
    <x:row r="3" ht="30" customHeight="1">
      <x:c r="A3" s="215" t="str">
        <x:v>Legal caution: official consolidated/compendium texts can be informative. For a permit decision, verify the individual BOE/BOCM publication, the property’s exact planning sheet and the current municipal file.</x:v>
      </x:c>
      <x:c r="B3" s="215"/>
      <x:c r="C3" s="215"/>
      <x:c r="D3" s="215"/>
      <x:c r="E3" s="215"/>
      <x:c r="F3" s="215"/>
      <x:c r="G3" s="215"/>
      <x:c r="H3" s="215"/>
      <x:c r="I3" s="215"/>
      <x:c r="J3" s="215"/>
      <x:c r="K3" s="215"/>
      <x:c r="L3" s="215"/>
      <x:c r="M3" s="215"/>
    </x:row>
    <x:row r="5" ht="24" customHeight="1">
      <x:c r="A5" s="256" t="str">
        <x:v>STEP 0 — Structure and allocation of authority</x:v>
      </x:c>
      <x:c r="B5" s="256"/>
      <x:c r="C5" s="256"/>
      <x:c r="D5" s="256"/>
      <x:c r="E5" s="256"/>
      <x:c r="F5" s="256"/>
      <x:c r="G5" s="256"/>
      <x:c r="H5" s="256"/>
      <x:c r="I5" s="256"/>
      <x:c r="J5" s="256"/>
      <x:c r="K5" s="256"/>
      <x:c r="L5" s="256"/>
      <x:c r="M5" s="256"/>
    </x:row>
    <x:row r="6">
      <x:c r="A6" s="216" t="str">
        <x:v>Tier</x:v>
      </x:c>
      <x:c r="B6" s="217" t="str">
        <x:v>Primary authority for this use case</x:v>
      </x:c>
      <x:c r="C6" s="218" t="str">
        <x:v>What the system should source from this tier</x:v>
      </x:c>
    </x:row>
    <x:row r="7" ht="66" customHeight="1">
      <x:c r="A7" s="222" t="str">
        <x:v>State / National</x:v>
      </x:c>
      <x:c r="B7" s="220" t="str">
        <x:v>Basic building quality and safety under LOE + CTE; basic land/rehabilitation framework.</x:v>
      </x:c>
      <x:c r="C7" s="221" t="str">
        <x:v>CTE DB-SI, DB-SUA, DB-HS, DB-HE and DB-HR quantitative checks; LOE project/use framework; national energy certification. No general national minimum bedroom-area code for private student residences was identified.</x:v>
      </x:c>
    </x:row>
    <x:row r="8" ht="66" customHeight="1">
      <x:c r="A8" s="226" t="str">
        <x:v>Regional – Comunidad de Madrid</x:v>
      </x:c>
      <x:c r="B8" s="224" t="str">
        <x:v>Urban-planning legislation, municipal-intervention framework, regional building quality and supplementary accessibility.</x:v>
      </x:c>
      <x:c r="C8" s="225" t="str">
        <x:v>Ley 9/2001 change-of-use/planning framework; Ley 8/1993 + Decreto 13/2007 accessibility. Since Decreto 111/2018, no separate general regional cédula/habitability dimensional code: CTE + municipal rules are used.</x:v>
      </x:c>
    </x:row>
    <x:row r="9" ht="66" customHeight="1">
      <x:c r="A9" s="234" t="str">
        <x:v>Municipal – Madrid</x:v>
      </x:c>
      <x:c r="B9" s="232" t="str">
        <x:v>Parcel use permission, local use categories, detailed residence/housing dimensions, parking and licence procedure.</x:v>
      </x:c>
      <x:c r="C9" s="233" t="str">
        <x:v>PGOUM/NNUU and the parcel’s Norma Zonal/APE/APR determine whether residence is permitted. PGOUM contains the decisive student-residence room, common-space, daylight, height, below-grade and parking rules.</x:v>
      </x:c>
    </x:row>
    <x:row r="11" ht="24" customHeight="1">
      <x:c r="A11" s="256" t="str">
        <x:v>AUTHORITATIVE DOCUMENT INVENTORY</x:v>
      </x:c>
      <x:c r="B11" s="256"/>
      <x:c r="C11" s="256"/>
      <x:c r="D11" s="256"/>
      <x:c r="E11" s="256"/>
      <x:c r="F11" s="256"/>
      <x:c r="G11" s="256"/>
      <x:c r="H11" s="256"/>
      <x:c r="I11" s="256"/>
      <x:c r="J11" s="256"/>
      <x:c r="K11" s="256"/>
      <x:c r="L11" s="256"/>
      <x:c r="M11" s="256"/>
    </x:row>
    <x:row r="12" ht="42" customHeight="1">
      <x:c r="A12" s="216" t="str">
        <x:v>Rank</x:v>
      </x:c>
      <x:c r="B12" s="217" t="str">
        <x:v>Document name (official Spanish title)</x:v>
      </x:c>
      <x:c r="C12" s="217" t="str">
        <x:v>English translation</x:v>
      </x:c>
      <x:c r="D12" s="217" t="str">
        <x:v>Issuing authority</x:v>
      </x:c>
      <x:c r="E12" s="217" t="str">
        <x:v>Jurisdiction level</x:v>
      </x:c>
      <x:c r="F12" s="217" t="str">
        <x:v>Year / version / effective date</x:v>
      </x:c>
      <x:c r="G12" s="217" t="str">
        <x:v>Official source URL(s)</x:v>
      </x:c>
      <x:c r="H12" s="217" t="str">
        <x:v>Format available</x:v>
      </x:c>
      <x:c r="I12" s="217" t="str">
        <x:v>Language(s)</x:v>
      </x:c>
      <x:c r="J12" s="217" t="str">
        <x:v>What it covers</x:v>
      </x:c>
      <x:c r="K12" s="217" t="str">
        <x:v>Contains quantitative thresholds?</x:v>
      </x:c>
      <x:c r="L12" s="217" t="str">
        <x:v>Concrete quantitative examples</x:v>
      </x:c>
      <x:c r="M12" s="218" t="str">
        <x:v>Relationship to other levels</x:v>
      </x:c>
    </x:row>
    <x:row r="13" ht="122" customHeight="1">
      <x:c r="A13" s="222" t="n">
        <x:v>1</x:v>
      </x:c>
      <x:c r="B13" s="220" t="str">
        <x:v>Real Decreto 314/2006, de 17 de marzo, por el que se aprueba el Código Técnico de la Edificación (CTE)</x:v>
      </x:c>
      <x:c r="C13" s="220" t="str">
        <x:v>Royal Decree approving the Technical Building Code</x:v>
      </x:c>
      <x:c r="D13" s="220" t="str">
        <x:v>Government of Spain / former Ministry of Housing; current CTE portal maintained by the competent State ministry</x:v>
      </x:c>
      <x:c r="E13" s="239" t="str">
        <x:v>National</x:v>
      </x:c>
      <x:c r="F13" s="239" t="str">
        <x:v>In force from 29 Mar 2006. BOE consolidated act last updated 15 Jun 2022; individual DBs have later updates, including DB-SI changes under RD 164/2025. Current official portal checked 30 Jul 2026.</x:v>
      </x:c>
      <x:c r="G13" s="239" t="str">
        <x:v>https://www.boe.es/buscar/act.php?id=BOE-A-2006-5515
https://www.codigotecnico.org/DocumentosCTE/DocumentosCTE.html</x:v>
      </x:c>
      <x:c r="H13" s="239" t="str">
        <x:v>HTML / PDF</x:v>
      </x:c>
      <x:c r="I13" s="239" t="str">
        <x:v>Spanish</x:v>
      </x:c>
      <x:c r="J13" s="220" t="str">
        <x:v>State-wide baseline for essential building requirements. It applies to new construction and, according to the scope and proportionality rules, to interventions and changes of use in existing buildings. Its Documentos Básicos govern fire, accessibility, health, energy and acoustics.</x:v>
      </x:c>
      <x:c r="K13" s="241" t="str">
        <x:v>Yes</x:v>
      </x:c>
      <x:c r="L13" s="220" t="str">
        <x:v>The umbrella act activates the quantitative checks contained in DB-SI, DB-SUA, DB-HS, DB-HE and DB-HR. Applicability to an existing office/commercial conversion depends on the intervention and change-of-use scope.</x:v>
      </x:c>
      <x:c r="M13" s="221" t="str">
        <x:v>Implements the basic building-quality requirements of Ley 38/1999. It is a national minimum; Comunidad de Madrid and Madrid city may add planning, use and procedural conditions but cannot waive State basic safety requirements.</x:v>
      </x:c>
    </x:row>
    <x:row r="14" ht="122" customHeight="1">
      <x:c r="A14" s="226" t="n">
        <x:v>2</x:v>
      </x:c>
      <x:c r="B14" s="224" t="str">
        <x:v>Documento Básico DB-SI — Seguridad en caso de incendio, del Código Técnico de la Edificación</x:v>
      </x:c>
      <x:c r="C14" s="224" t="str">
        <x:v>Basic Document DB-SI — Fire Safety</x:v>
      </x:c>
      <x:c r="D14" s="224" t="str">
        <x:v>Government of Spain / competent State ministry</x:v>
      </x:c>
      <x:c r="E14" s="242" t="str">
        <x:v>National</x:v>
      </x:c>
      <x:c r="F14" s="242" t="str">
        <x:v>Current official coordinated DB includes the modifications introduced by Real Decreto 164/2025; official CTE portal checked 30 Jul 2026.</x:v>
      </x:c>
      <x:c r="G14" s="242" t="str">
        <x:v>https://www.codigotecnico.org/DocumentosCTE/SeguridadEnCasoDeIncendio.html
https://www.codigotecnico.org/pdf/Documentos/SI/DcmSI.pdf</x:v>
      </x:c>
      <x:c r="H14" s="242" t="str">
        <x:v>HTML / PDF</x:v>
      </x:c>
      <x:c r="I14" s="242" t="str">
        <x:v>Spanish</x:v>
      </x:c>
      <x:c r="J14" s="224" t="str">
        <x:v>Controls fire compartments, fire resistance, evacuation, occupant load, exits, stairs, fire-service access and required protection installations. A student residence is normally assessed under the applicable CTE residential-use classification and the actual layout/occupancy.</x:v>
      </x:c>
      <x:c r="K14" s="244" t="str">
        <x:v>Yes</x:v>
      </x:c>
      <x:c r="L14" s="224" t="str">
        <x:v>Contains occupant-density tables, maximum travel distances, exit-number and exit-width formulas, compartment limits and fire-resistance ratings. The exact value depends on use, floor, height and whether sleeping occupants are present.</x:v>
      </x:c>
      <x:c r="M14" s="225" t="str">
        <x:v>National life-safety baseline under the CTE. PGOUM Art. 7.3.11 expressly requires residences to comply with DB-SI. Municipal licensing verifies the project; it does not replace DB-SI.</x:v>
      </x:c>
    </x:row>
    <x:row r="15" ht="122" customHeight="1">
      <x:c r="A15" s="230" t="n">
        <x:v>3</x:v>
      </x:c>
      <x:c r="B15" s="228" t="str">
        <x:v>Documento Básico DB-SUA — Seguridad de utilización y accesibilidad, del Código Técnico de la Edificación</x:v>
      </x:c>
      <x:c r="C15" s="228" t="str">
        <x:v>Basic Document DB-SUA — Safety in Use and Accessibility</x:v>
      </x:c>
      <x:c r="D15" s="228" t="str">
        <x:v>Government of Spain / competent State ministry</x:v>
      </x:c>
      <x:c r="E15" s="245" t="str">
        <x:v>National</x:v>
      </x:c>
      <x:c r="F15" s="245" t="str">
        <x:v>Consolidated official DB incorporating amendments through Real Decreto 450/2022; current official portal checked 30 Jul 2026.</x:v>
      </x:c>
      <x:c r="G15" s="245" t="str">
        <x:v>https://www.codigotecnico.org/DocumentosCTE/SeguridadUtilizacionAccesibilidad.html
https://www.codigotecnico.org/pdf/Documentos/SUA/DBSUA.pdf</x:v>
      </x:c>
      <x:c r="H15" s="245" t="str">
        <x:v>HTML / PDF</x:v>
      </x:c>
      <x:c r="I15" s="245" t="str">
        <x:v>Spanish</x:v>
      </x:c>
      <x:c r="J15" s="228" t="str">
        <x:v>National geometric and functional accessibility and safe-use requirements: accessible routes, entrances, lifts, ramps, stairs, accessible accommodation, sanitary facilities, fall and impact protection.</x:v>
      </x:c>
      <x:c r="K15" s="247" t="str">
        <x:v>Yes</x:v>
      </x:c>
      <x:c r="L15" s="228" t="str">
        <x:v>Accessible-route doors: clear width ≥ 0.80 m (≥ 0.78 m at maximum opening); accessible-route passages generally ≥ 1.20 m, with defined local reductions; wheelchair turning spaces commonly Ø 1.50 m.</x:v>
      </x:c>
      <x:c r="M15" s="229" t="str">
        <x:v>National minimum. It interacts with Ley 8/1993 and Decreto 13/2007 of Comunidad de Madrid; where rules overlap, the project must satisfy the applicable combined/stricter requirements.</x:v>
      </x:c>
    </x:row>
    <x:row r="16" ht="122" customHeight="1">
      <x:c r="A16" s="226" t="n">
        <x:v>4</x:v>
      </x:c>
      <x:c r="B16" s="224" t="str">
        <x:v>Documento Básico DB-HS — Salubridad, del Código Técnico de la Edificación</x:v>
      </x:c>
      <x:c r="C16" s="224" t="str">
        <x:v>Basic Document DB-HS — Health and Hygiene</x:v>
      </x:c>
      <x:c r="D16" s="224" t="str">
        <x:v>Government of Spain / competent State ministry</x:v>
      </x:c>
      <x:c r="E16" s="242" t="str">
        <x:v>National</x:v>
      </x:c>
      <x:c r="F16" s="242" t="str">
        <x:v>DB modified by Real Decreto 732/2019; official commented version updated 12 Feb 2025 and checked 30 Jul 2026.</x:v>
      </x:c>
      <x:c r="G16" s="242" t="str">
        <x:v>https://www.codigotecnico.org/DocumentosCTE/Salubridad.html
https://www.codigotecnico.org/pdf/Documentos/HS/DccHS.pdf</x:v>
      </x:c>
      <x:c r="H16" s="242" t="str">
        <x:v>HTML / PDF</x:v>
      </x:c>
      <x:c r="I16" s="242" t="str">
        <x:v>Spanish</x:v>
      </x:c>
      <x:c r="J16" s="224" t="str">
        <x:v>Moisture protection, waste storage, indoor-air quality/ventilation, water supply, drainage and radon protection. The relevant ventilation regime depends on whether spaces are treated as dwelling-type premises or another occupancy under RITE/sector rules.</x:v>
      </x:c>
      <x:c r="K16" s="244" t="str">
        <x:v>Yes</x:v>
      </x:c>
      <x:c r="L16" s="224" t="str">
        <x:v>For dwelling-type HS 3 checks: main bedroom 8 l/s, additional bedroom 4 l/s, and cooking-area extract ≥ 50 l/s; garages 120 l/s per parking space. These examples must only be applied when the corresponding HS 3 scope is met.</x:v>
      </x:c>
      <x:c r="M16" s="225" t="str">
        <x:v>National hygiene baseline. Madrid city adds exterior-room, daylight, below-grade and room-program rules in the PGOUM; Comunidad de Madrid expressly relies on the CTE plus municipal rules for general habitability.</x:v>
      </x:c>
    </x:row>
    <x:row r="17" ht="122" customHeight="1">
      <x:c r="A17" s="230" t="n">
        <x:v>5</x:v>
      </x:c>
      <x:c r="B17" s="228" t="str">
        <x:v>Documento Básico DB-HR — Protección frente al ruido, del Código Técnico de la Edificación</x:v>
      </x:c>
      <x:c r="C17" s="228" t="str">
        <x:v>Basic Document DB-HR — Protection against Noise</x:v>
      </x:c>
      <x:c r="D17" s="228" t="str">
        <x:v>Government of Spain / competent State ministry</x:v>
      </x:c>
      <x:c r="E17" s="245" t="str">
        <x:v>National</x:v>
      </x:c>
      <x:c r="F17" s="245" t="str">
        <x:v>Regulatory text consolidated from the 23 Sep 2009 version; official ministerial comments updated 20 Dec 2019. Checked 30 Jul 2026.</x:v>
      </x:c>
      <x:c r="G17" s="245" t="str">
        <x:v>https://www.codigotecnico.org/DocumentosCTE/ProteccionRuido.html
https://www.codigotecnico.org/pdf/Documentos/HR/DBHR.pdf</x:v>
      </x:c>
      <x:c r="H17" s="245" t="str">
        <x:v>HTML / PDF</x:v>
      </x:c>
      <x:c r="I17" s="245" t="str">
        <x:v>Spanish</x:v>
      </x:c>
      <x:c r="J17" s="228" t="str">
        <x:v>Sets acoustic-insulation and reverberation requirements between accommodation units, common spaces, activity rooms, installations and the exterior. Important when converting offices or commercial premises next to noisy uses.</x:v>
      </x:c>
      <x:c r="K17" s="247" t="str">
        <x:v>Yes</x:v>
      </x:c>
      <x:c r="L17" s="228" t="str">
        <x:v>Airborne sound insulation DnT,A between a protected room and another unit of use generally ≥ 50 dBA; between a protected room and an installation/activity room ≥ 55 dBA; impact level in specified adjacencies ≤ 65 dB.</x:v>
      </x:c>
      <x:c r="M17" s="229" t="str">
        <x:v>National building-acoustic minimum. Madrid’s acoustic ordinance implements local zoning, licensing and operational limits and expressly refers new buildings to DB-HR.</x:v>
      </x:c>
    </x:row>
    <x:row r="18" ht="122" customHeight="1">
      <x:c r="A18" s="226" t="n">
        <x:v>6</x:v>
      </x:c>
      <x:c r="B18" s="224" t="str">
        <x:v>Documento Básico DB-HE — Ahorro de energía, del Código Técnico de la Edificación</x:v>
      </x:c>
      <x:c r="C18" s="224" t="str">
        <x:v>Basic Document DB-HE — Energy Saving</x:v>
      </x:c>
      <x:c r="D18" s="224" t="str">
        <x:v>Government of Spain / competent State ministry</x:v>
      </x:c>
      <x:c r="E18" s="242" t="str">
        <x:v>National</x:v>
      </x:c>
      <x:c r="F18" s="242" t="str">
        <x:v>Current official commented version incorporates the 14 Jun 2022 text; official portal checked 30 Jul 2026.</x:v>
      </x:c>
      <x:c r="G18" s="242" t="str">
        <x:v>https://www.codigotecnico.org/DocumentosCTE/AhorroEnergia.html</x:v>
      </x:c>
      <x:c r="H18" s="242" t="str">
        <x:v>HTML / PDF</x:v>
      </x:c>
      <x:c r="I18" s="242" t="str">
        <x:v>Spanish</x:v>
      </x:c>
      <x:c r="J18" s="224" t="str">
        <x:v>Limits energy consumption and demand; governs envelope performance, thermal installations, lighting, renewable energy and electric-mobility readiness. Change of use plus substantial works may trigger partial or full checks.</x:v>
      </x:c>
      <x:c r="K18" s="244" t="str">
        <x:v>Yes</x:v>
      </x:c>
      <x:c r="L18" s="224" t="str">
        <x:v>Contains climate-zone-specific limits for energy consumption, envelope transmittance and solar control, plus quantitative renewable-energy and charging-infrastructure requirements. Madrid values must be selected using the project’s climate-zone inputs and intervention scope.</x:v>
      </x:c>
      <x:c r="M18" s="225" t="str">
        <x:v>National energy baseline under the CTE. It interacts with RITE and the national energy-certificate regime; Comunidad de Madrid administers certificates and control procedures.</x:v>
      </x:c>
    </x:row>
    <x:row r="19" ht="122" customHeight="1">
      <x:c r="A19" s="230" t="n">
        <x:v>7</x:v>
      </x:c>
      <x:c r="B19" s="228" t="str">
        <x:v>Ley 38/1999, de 5 de noviembre, de Ordenación de la Edificación (LOE)</x:v>
      </x:c>
      <x:c r="C19" s="228" t="str">
        <x:v>Building Regulation Act</x:v>
      </x:c>
      <x:c r="D19" s="228" t="str">
        <x:v>Cortes Generales / Government of Spain</x:v>
      </x:c>
      <x:c r="E19" s="245" t="str">
        <x:v>National</x:v>
      </x:c>
      <x:c r="F19" s="245" t="str">
        <x:v>In force from 6 May 2000; current BOE consolidated text checked 30 Jul 2026.</x:v>
      </x:c>
      <x:c r="G19" s="245" t="str">
        <x:v>https://www.boe.es/buscar/act.php?id=BOE-A-1999-21567</x:v>
      </x:c>
      <x:c r="H19" s="245" t="str">
        <x:v>HTML / PDF</x:v>
      </x:c>
      <x:c r="I19" s="245" t="str">
        <x:v>Spanish</x:v>
      </x:c>
      <x:c r="J19" s="228" t="str">
        <x:v>Defines building uses, agents, project and technical responsibilities, reception, warranties and the essential requirements that the CTE develops. Relevant where change of use requires a building project.</x:v>
      </x:c>
      <x:c r="K19" s="247" t="str">
        <x:v>No</x:v>
      </x:c>
      <x:c r="L19" s="228" t="str">
        <x:v>No principal room-size thresholds. It establishes the legal framework and assigns residential accommodation to the building-use system covered by LOE/CTE.</x:v>
      </x:c>
      <x:c r="M19" s="229" t="str">
        <x:v>State framework implemented technically by the CTE. Regional building-quality law and municipal licensing operate within it.</x:v>
      </x:c>
    </x:row>
    <x:row r="20" ht="122" customHeight="1">
      <x:c r="A20" s="226" t="n">
        <x:v>8</x:v>
      </x:c>
      <x:c r="B20" s="224" t="str">
        <x:v>Real Decreto Legislativo 7/2015, de 30 de octubre, por el que se aprueba el texto refundido de la Ley de Suelo y Rehabilitación Urbana</x:v>
      </x:c>
      <x:c r="C20" s="224" t="str">
        <x:v>Consolidated Land and Urban Rehabilitation Act</x:v>
      </x:c>
      <x:c r="D20" s="224" t="str">
        <x:v>Government of Spain</x:v>
      </x:c>
      <x:c r="E20" s="242" t="str">
        <x:v>National</x:v>
      </x:c>
      <x:c r="F20" s="242" t="str">
        <x:v>In force from 31 Oct 2015; current BOE consolidated text checked 30 Jul 2026.</x:v>
      </x:c>
      <x:c r="G20" s="242" t="str">
        <x:v>https://www.boe.es/buscar/act.php?id=BOE-A-2015-11723</x:v>
      </x:c>
      <x:c r="H20" s="242" t="str">
        <x:v>HTML / PDF</x:v>
      </x:c>
      <x:c r="I20" s="242" t="str">
        <x:v>Spanish</x:v>
      </x:c>
      <x:c r="J20" s="224" t="str">
        <x:v>Basic State framework for land status, urban rehabilitation, owners’ duties, building evaluation and sustainable urban development. It does not determine Madrid parcel uses but constrains regional and municipal urban-planning systems.</x:v>
      </x:c>
      <x:c r="K20" s="244" t="str">
        <x:v>Yes</x:v>
      </x:c>
      <x:c r="L20" s="224" t="str">
        <x:v>Includes quantitative triggers in the building-evaluation/rehabilitation system and economic viability framework, although it is not the source of Madrid room dimensions or zone permissions.</x:v>
      </x:c>
      <x:c r="M20" s="225" t="str">
        <x:v>State baseline. Ley 9/2001 of Comunidad de Madrid and the PGOUM provide the operative regional and parcel-level planning rules.</x:v>
      </x:c>
    </x:row>
    <x:row r="21" ht="122" customHeight="1">
      <x:c r="A21" s="230" t="n">
        <x:v>9</x:v>
      </x:c>
      <x:c r="B21" s="228" t="str">
        <x:v>Real Decreto 390/2021, de 1 de junio, por el que se aprueba el procedimiento básico para la certificación de la eficiencia energética de los edificios</x:v>
      </x:c>
      <x:c r="C21" s="228" t="str">
        <x:v>Royal Decree approving the basic procedure for building energy-performance certification</x:v>
      </x:c>
      <x:c r="D21" s="228" t="str">
        <x:v>Government of Spain / Ministry for the Ecological Transition and Demographic Challenge</x:v>
      </x:c>
      <x:c r="E21" s="245" t="str">
        <x:v>National</x:v>
      </x:c>
      <x:c r="F21" s="245" t="str">
        <x:v>In force from 3 Jun 2021; BOE consolidated text last updated 23 Jul 2025.</x:v>
      </x:c>
      <x:c r="G21" s="245" t="str">
        <x:v>https://www.boe.es/buscar/act.php?id=BOE-A-2021-9176</x:v>
      </x:c>
      <x:c r="H21" s="245" t="str">
        <x:v>HTML / PDF</x:v>
      </x:c>
      <x:c r="I21" s="245" t="str">
        <x:v>Spanish</x:v>
      </x:c>
      <x:c r="J21" s="228" t="str">
        <x:v>Sets when an energy-performance certificate is required, its content, registration and display. Relevant to completed conversions, sale or rental and certain renovation situations.</x:v>
      </x:c>
      <x:c r="K21" s="247" t="str">
        <x:v>Yes</x:v>
      </x:c>
      <x:c r="L21" s="228" t="str">
        <x:v>Uses calculated energy indicators and A–G rating scales; contains scope/size triggers for certification and public display. It does not set student-room dimensions.</x:v>
      </x:c>
      <x:c r="M21" s="229" t="str">
        <x:v>National procedure administered through the competent Comunidad de Madrid registry and control system. Complements DB-HE rather than replacing it.</x:v>
      </x:c>
    </x:row>
    <x:row r="22" ht="122" customHeight="1">
      <x:c r="A22" s="226" t="n">
        <x:v>10</x:v>
      </x:c>
      <x:c r="B22" s="224" t="str">
        <x:v>Decreto 2780/1973, de 19 de octubre, por el que se regulan los Colegios Mayores Universitarios</x:v>
      </x:c>
      <x:c r="C22" s="224" t="str">
        <x:v>Decree regulating University Halls of Residence (Colegios Mayores)</x:v>
      </x:c>
      <x:c r="D22" s="224" t="str">
        <x:v>Government of Spain / Ministry of Education and Science</x:v>
      </x:c>
      <x:c r="E22" s="242" t="str">
        <x:v>National</x:v>
      </x:c>
      <x:c r="F22" s="242" t="str">
        <x:v>Original effective 30 Nov 1973; last BOE amendment published 29 Aug 1981, effective 18 Sep 1981.</x:v>
      </x:c>
      <x:c r="G22" s="242" t="str">
        <x:v>https://www.boe.es/buscar/act.php?id=BOE-A-1973-1544</x:v>
      </x:c>
      <x:c r="H22" s="242" t="str">
        <x:v>HTML / PDF</x:v>
      </x:c>
      <x:c r="I22" s="242" t="str">
        <x:v>Spanish</x:v>
      </x:c>
      <x:c r="J22" s="224" t="str">
        <x:v>Institutional recognition, university integration, governance and educational purposes of formally recognised Colegios Mayores. It is not a general technical building code for all private student residences.</x:v>
      </x:c>
      <x:c r="K22" s="244" t="str">
        <x:v>No</x:v>
      </x:c>
      <x:c r="L22" s="224" t="str">
        <x:v>Requires the recognition file to describe accommodation, library, study, seminar, music and sports spaces, but sets no general minimum m² per student or bedroom.</x:v>
      </x:c>
      <x:c r="M22" s="225" t="str">
        <x:v>Applies only when the project seeks/has formal Colegio Mayor status. Building feasibility still depends on CTE, Comunidad de Madrid law and Madrid PGOUM rules.</x:v>
      </x:c>
    </x:row>
    <x:row r="23" ht="122" customHeight="1">
      <x:c r="A23" s="230" t="n">
        <x:v>11</x:v>
      </x:c>
      <x:c r="B23" s="228" t="str">
        <x:v>Real Decreto 1791/2010, de 30 de diciembre, por el que se aprueba el Estatuto del Estudiante Universitario</x:v>
      </x:c>
      <x:c r="C23" s="228" t="str">
        <x:v>Royal Decree approving the University Student Statute</x:v>
      </x:c>
      <x:c r="D23" s="228" t="str">
        <x:v>Government of Spain / Ministry of Education</x:v>
      </x:c>
      <x:c r="E23" s="245" t="str">
        <x:v>National</x:v>
      </x:c>
      <x:c r="F23" s="245" t="str">
        <x:v>In force from 31 Dec 2010; current BOE text checked 30 Jul 2026.</x:v>
      </x:c>
      <x:c r="G23" s="245" t="str">
        <x:v>https://www.boe.es/buscar/act.php?id=BOE-A-2010-20147</x:v>
      </x:c>
      <x:c r="H23" s="245" t="str">
        <x:v>HTML / PDF</x:v>
      </x:c>
      <x:c r="I23" s="245" t="str">
        <x:v>Spanish</x:v>
      </x:c>
      <x:c r="J23" s="228" t="str">
        <x:v>Article 66 addresses university student accommodation services, equality of access and accessibility of university-owned or affiliated residences. It is not a general planning or dimensional standard.</x:v>
      </x:c>
      <x:c r="K23" s="247" t="str">
        <x:v>No</x:v>
      </x:c>
      <x:c r="L23" s="228" t="str">
        <x:v>No room-size or occupancy ratio. It requires residence installations to be accessible to persons with disabilities.</x:v>
      </x:c>
      <x:c r="M23" s="229" t="str">
        <x:v>Policy/operational layer for university accommodation. Technical accessibility is supplied by CTE DB-SUA and applicable regional rules.</x:v>
      </x:c>
    </x:row>
    <x:row r="24" ht="122" customHeight="1">
      <x:c r="A24" s="226" t="n">
        <x:v>12</x:v>
      </x:c>
      <x:c r="B24" s="224" t="str">
        <x:v>Ley 9/2001, de 17 de julio, del Suelo de la Comunidad de Madrid</x:v>
      </x:c>
      <x:c r="C24" s="224" t="str">
        <x:v>Land Act of the Community of Madrid</x:v>
      </x:c>
      <x:c r="D24" s="224" t="str">
        <x:v>Asamblea de Madrid / Comunidad de Madrid</x:v>
      </x:c>
      <x:c r="E24" s="242" t="str">
        <x:v>Regional – Comunidad de Madrid</x:v>
      </x:c>
      <x:c r="F24" s="242" t="str">
        <x:v>In force from 27 Aug 2001; current consolidated regional/BOE text checked 30 Jul 2026.</x:v>
      </x:c>
      <x:c r="G24" s="242" t="str">
        <x:v>https://gestiona.comunidad.madrid/wleg_pub/servlet/Servidor?nmnorma=520&amp;opcion=VerHtml
https://www.boe.es/buscar/act.php?id=BOE-A-2001-18984</x:v>
      </x:c>
      <x:c r="H24" s="242" t="str">
        <x:v>HTML / PDF</x:v>
      </x:c>
      <x:c r="I24" s="242" t="str">
        <x:v>Spanish</x:v>
      </x:c>
      <x:c r="J24" s="224" t="str">
        <x:v>Core regional urban-planning law: plan hierarchy, land classes, urban-planning rights/duties, enforcement and municipal intervention in acts of construction and use. It supplies the legal framework for the PGOUM and change-of-use control.</x:v>
      </x:c>
      <x:c r="K24" s="244" t="str">
        <x:v>Yes</x:v>
      </x:c>
      <x:c r="L24" s="224" t="str">
        <x:v>Contains procedural and planning-standard parameters, but the decisive student-residence room areas and parcel use permissions are in the Madrid PGOUM. The licence/declaration route depends on the act and project scope.</x:v>
      </x:c>
      <x:c r="M24" s="225" t="str">
        <x:v>Develops the State land framework and empowers/controls municipal planning. The PGOUM and Ordenanza 6/2022 implement it for Madrid city.</x:v>
      </x:c>
    </x:row>
    <x:row r="25" ht="122" customHeight="1">
      <x:c r="A25" s="230" t="n">
        <x:v>13</x:v>
      </x:c>
      <x:c r="B25" s="228" t="str">
        <x:v>Decreto 111/2018, de 26 de junio, del Consejo de Gobierno, por el que se suprime la cédula de habitabilidad en el ámbito de la Comunidad de Madrid</x:v>
      </x:c>
      <x:c r="C25" s="228" t="str">
        <x:v>Decree abolishing the habitability certificate in the Community of Madrid</x:v>
      </x:c>
      <x:c r="D25" s="228" t="str">
        <x:v>Consejo de Gobierno de la Comunidad de Madrid</x:v>
      </x:c>
      <x:c r="E25" s="245" t="str">
        <x:v>Regional – Comunidad de Madrid</x:v>
      </x:c>
      <x:c r="F25" s="245" t="str">
        <x:v>Published 28 Jun 2018; effective 20 days after publication (18 Jul 2018).</x:v>
      </x:c>
      <x:c r="G25" s="245" t="str">
        <x:v>https://www.bocm.es/boletin/CM_Orden_BOCM/2018/06/28/BOCM-20180628-1.PDF</x:v>
      </x:c>
      <x:c r="H25" s="245" t="str">
        <x:v>PDF</x:v>
      </x:c>
      <x:c r="I25" s="245" t="str">
        <x:v>Spanish</x:v>
      </x:c>
      <x:c r="J25" s="228" t="str">
        <x:v>Abolishes the separate regional cédula de habitabilidad and confirms that habitability is checked through the applicable municipal authorisation/title against the CTE and municipal planning/building rules.</x:v>
      </x:c>
      <x:c r="K25" s="247" t="str">
        <x:v>No</x:v>
      </x:c>
      <x:c r="L25" s="228" t="str">
        <x:v>No room-area values. Its key rule is structural: there is no separate general regional habitability certificate or replacement dimensional code.</x:v>
      </x:c>
      <x:c r="M25" s="229" t="str">
        <x:v>Does not replace the CTE or PGOUM; it expressly makes them the operative technical and municipal habitability framework.</x:v>
      </x:c>
    </x:row>
    <x:row r="26" ht="122" customHeight="1">
      <x:c r="A26" s="226" t="n">
        <x:v>14</x:v>
      </x:c>
      <x:c r="B26" s="224" t="str">
        <x:v>Ley 8/1993, de 22 de junio, de Promoción de la Accesibilidad y Supresión de Barreras Arquitectónicas</x:v>
      </x:c>
      <x:c r="C26" s="224" t="str">
        <x:v>Act promoting accessibility and removing architectural barriers</x:v>
      </x:c>
      <x:c r="D26" s="224" t="str">
        <x:v>Asamblea de Madrid / Comunidad de Madrid</x:v>
      </x:c>
      <x:c r="E26" s="242" t="str">
        <x:v>Regional – Comunidad de Madrid</x:v>
      </x:c>
      <x:c r="F26" s="242" t="str">
        <x:v>Published 29 Jun 1993; current consolidated regional text checked 30 Jul 2026.</x:v>
      </x:c>
      <x:c r="G26" s="242" t="str">
        <x:v>https://gestiona.comunidad.madrid/wleg_pub/servlet/Servidor?nmnorma=482&amp;opcion=VerHtml</x:v>
      </x:c>
      <x:c r="H26" s="242" t="str">
        <x:v>HTML / PDF / Word</x:v>
      </x:c>
      <x:c r="I26" s="242" t="str">
        <x:v>Spanish</x:v>
      </x:c>
      <x:c r="J26" s="224" t="str">
        <x:v>Regional accessibility framework for buildings, urban spaces, transport and communication. Establishes duties and is technically developed by Decreto 13/2007 and later orders.</x:v>
      </x:c>
      <x:c r="K26" s="244" t="str">
        <x:v>Yes</x:v>
      </x:c>
      <x:c r="L26" s="224" t="str">
        <x:v>Contains and authorises regional technical parameters for accessible/adapted routes, spaces and facilities. For design, use the coordinated technical regulation rather than relying on the framework act alone.</x:v>
      </x:c>
      <x:c r="M26" s="225" t="str">
        <x:v>Supplements the State CTE/DB-SUA. Municipal projects and licences in Madrid must comply with both applicable State and regional accessibility requirements.</x:v>
      </x:c>
    </x:row>
    <x:row r="27" ht="122" customHeight="1">
      <x:c r="A27" s="230" t="n">
        <x:v>15</x:v>
      </x:c>
      <x:c r="B27" s="228" t="str">
        <x:v>Decreto 13/2007, de 15 de marzo, por el que se aprueba el Reglamento Técnico de Desarrollo en Materia de Promoción de la Accesibilidad y Supresión de Barreras Arquitectónicas</x:v>
      </x:c>
      <x:c r="C27" s="228" t="str">
        <x:v>Technical Regulation implementing accessibility and removal of architectural barriers</x:v>
      </x:c>
      <x:c r="D27" s="228" t="str">
        <x:v>Consejo de Gobierno de la Comunidad de Madrid</x:v>
      </x:c>
      <x:c r="E27" s="245" t="str">
        <x:v>Regional – Comunidad de Madrid</x:v>
      </x:c>
      <x:c r="F27" s="245" t="str">
        <x:v>Published 24 Apr 2007; coordinated with later modifications, including the Order of 7 Feb 2014 on lifts and Order of 20 Jan 2020 on shared-surface streets.</x:v>
      </x:c>
      <x:c r="G27" s="245" t="str">
        <x:v>https://gestiona.comunidad.madrid/wleg_pub/servlet/Servidor?nmnorma=4523&amp;opcion=VerHtml
https://www.bocm.es/boletin/CM_Orden_BOCM/2014/02/13/BOCM-20140213-1.PDF
https://www.bocm.es/boletin/CM_Orden_BOCM/2020/01/31/BOCM-20200131-13.PDF</x:v>
      </x:c>
      <x:c r="H27" s="245" t="str">
        <x:v>HTML / PDF / Word</x:v>
      </x:c>
      <x:c r="I27" s="245" t="str">
        <x:v>Spanish</x:v>
      </x:c>
      <x:c r="J27" s="228" t="str">
        <x:v>Detailed regional accessibility parameters for interior/exterior routes, buildings, facilities and public space. Existing-building conversions must coordinate these requirements with DB-SUA.</x:v>
      </x:c>
      <x:c r="K27" s="247" t="str">
        <x:v>Yes</x:v>
      </x:c>
      <x:c r="L27" s="228" t="str">
        <x:v>Examples include adapted pedestrian-route width ≥ 1.20 m in the technical regulation; lift requirements are coordinated with State DB-SUA/UNE rules by the 2014 Order.</x:v>
      </x:c>
      <x:c r="M27" s="229" t="str">
        <x:v>Technically develops Ley 8/1993 and supplements CTE DB-SUA. Where the State rule has superseded a technical parameter, the regional modification expressly coordinates the two.</x:v>
      </x:c>
    </x:row>
    <x:row r="28" ht="122" customHeight="1">
      <x:c r="A28" s="226" t="n">
        <x:v>16</x:v>
      </x:c>
      <x:c r="B28" s="224" t="str">
        <x:v>Ley 2/1999, de 17 de marzo, de Medidas para la Calidad de la Edificación</x:v>
      </x:c>
      <x:c r="C28" s="224" t="str">
        <x:v>Act on Measures for Building Quality</x:v>
      </x:c>
      <x:c r="D28" s="224" t="str">
        <x:v>Asamblea de Madrid / Comunidad de Madrid</x:v>
      </x:c>
      <x:c r="E28" s="242" t="str">
        <x:v>Regional – Comunidad de Madrid</x:v>
      </x:c>
      <x:c r="F28" s="242" t="str">
        <x:v>Published 29 Mar 1999; current consolidated regional text checked 30 Jul 2026.</x:v>
      </x:c>
      <x:c r="G28" s="242" t="str">
        <x:v>https://gestiona.comunidad.madrid/wleg_pub/servlet/Servidor?nmnorma=537&amp;opcion=VerHtml</x:v>
      </x:c>
      <x:c r="H28" s="242" t="str">
        <x:v>HTML / PDF / Word</x:v>
      </x:c>
      <x:c r="I28" s="242" t="str">
        <x:v>Spanish</x:v>
      </x:c>
      <x:c r="J28" s="224" t="str">
        <x:v>Regional quality-control framework for projects, construction, documentation, use and maintenance, including the building book and responsibilities additional to the national LOE.</x:v>
      </x:c>
      <x:c r="K28" s="244" t="str">
        <x:v>No</x:v>
      </x:c>
      <x:c r="L28" s="224" t="str">
        <x:v>No central student-bedroom or common-space threshold. It governs quality assurance and documentation rather than land-use permission.</x:v>
      </x:c>
      <x:c r="M28" s="225" t="str">
        <x:v>Complements Ley 38/1999 and the CTE. Municipal licensing and completion/first-occupation controls rely on the resulting project and building documentation.</x:v>
      </x:c>
    </x:row>
    <x:row r="29" ht="122" customHeight="1">
      <x:c r="A29" s="230" t="n">
        <x:v>17</x:v>
      </x:c>
      <x:c r="B29" s="228" t="str">
        <x:v>Plan General de Ordenación Urbana de Madrid de 1997 — Normas Urbanísticas, modificadas definitivamente por Acuerdo de 8 de noviembre de 2023; texto íntegro publicado el 27 de noviembre de 2023; Compendio NNUU actualizado a 24 de septiembre de 2025</x:v>
      </x:c>
      <x:c r="C29" s="228" t="str">
        <x:v>Madrid General Urban Development Plan 1997 — Urban Planning Rules, definitively amended in 2023; 2025 updated compendium</x:v>
      </x:c>
      <x:c r="D29" s="228" t="str">
        <x:v>Ayuntamiento de Madrid; definitive approval of the 2023 modification by the Consejo de Gobierno de la Comunidad de Madrid</x:v>
      </x:c>
      <x:c r="E29" s="245" t="str">
        <x:v>Municipal – Madrid</x:v>
      </x:c>
      <x:c r="F29" s="245" t="str">
        <x:v>PGOUM approved 17 Apr 1997. Major NNUU amendment definitively approved 8 Nov 2023; full amended provisions published 27 Nov 2023. Current municipal compendium updated 24 Sep 2025 (informative consolidation).</x:v>
      </x:c>
      <x:c r="G29" s="245" t="str">
        <x:v>https://www.bocm.es/boletin/CM_Orden_BOCM/2023/11/14/BOCM-20231114-20.PDF
https://www.bocm.es/boletin/CM_Orden_BOCM/2023/11/27/BOCM-20231127-34.PDF
https://transparencia.madrid.es/UnidadesDescentralizadas/UDCUrbanismo/PGOUM/CompendioNNUU/Compendio_2025_septiembre/COMPENDIO_MPG_NNUU_24_09_2025.pdf</x:v>
      </x:c>
      <x:c r="H29" s="245" t="str">
        <x:v>PDF</x:v>
      </x:c>
      <x:c r="I29" s="245" t="str">
        <x:v>Spanish</x:v>
      </x:c>
      <x:c r="J29" s="228" t="str">
        <x:v>The decisive Madrid-city rules for use classification, parcel compatibility and physical conditions. Art. 7.3.2 classifies student residences as residential “residencia comunitaria”; Arts. 7.3.3–7.3.8 and 7.3.11 regulate exterior condition, programme, height, openings, daylight/ventilation and residences. Art. 7.10.6.11 applies Art. 7.3.11 to student residences within educational equipment.</x:v>
      </x:c>
      <x:c r="K29" s="247" t="str">
        <x:v>Yes</x:v>
      </x:c>
      <x:c r="L29" s="228" t="str">
        <x:v>Community/student residence as a whole: ≥ 40 m² and at least living-dining, kitchen, bedroom and bathroom; one bedroom ≥ 12 m², additional bedrooms ≥ 7 m², kitchen ≥ 7 m², bathroom ≥ 3 m², habitable height generally ≥ 2.50 m, daylight opening ≥ 12% of room area. Shared-residence private unit ≥ 15 m² and ≥ 10 m²/person; common spaces 25 m² + 5 m² per additional unit; no accommodation below ground floor. Bicycle/VMP: 1 space per 5 accommodation units; car parking guidance applies 1 space per 100 m² built, subject to Art. 7.5.8 exceptions.</x:v>
      </x:c>
      <x:c r="M29" s="229" t="str">
        <x:v>Implements Ley 9/2001 at parcel level and adds local quantitative habitability/use standards on top of the CTE. Actual permission is not citywide: the applicable Norma Zonal, APE/APR or special-plan sheet must admit residential residence or the relevant educational-equipment use.</x:v>
      </x:c>
    </x:row>
    <x:row r="30" ht="122" customHeight="1">
      <x:c r="A30" s="226" t="n">
        <x:v>18</x:v>
      </x:c>
      <x:c r="B30" s="224" t="str">
        <x:v>Preguntas de interés relativas a preceptos modificados o introducidos por la Modificación del PGOUM — V5 septiembre 2025</x:v>
      </x:c>
      <x:c r="C30" s="224" t="str">
        <x:v>Frequently asked questions on provisions amended or introduced by the PGOUM modification — Version 5, September 2025</x:v>
      </x:c>
      <x:c r="D30" s="224" t="str">
        <x:v>Ayuntamiento de Madrid, Dirección General de Planeamiento, Subdirección General de Normativa</x:v>
      </x:c>
      <x:c r="E30" s="242" t="str">
        <x:v>Municipal – Madrid</x:v>
      </x:c>
      <x:c r="F30" s="242" t="str">
        <x:v>Version 5, Sep 2025. Administrative interpretative guidance; not a substitute for the officially published NNUU.</x:v>
      </x:c>
      <x:c r="G30" s="242" t="str">
        <x:v>https://www.madrid.es/UnidadesDescentralizadas/UrbanismoyVivienda/Urbanismo/UrbanismoNuevo/Planeamiento/DIFUSI%C3%93N_NN_UU/ficheros/Preguntas_inter%C3%A9s_MPG_NNUU_v5_septiembre_2025.pdf</x:v>
      </x:c>
      <x:c r="H30" s="242" t="str">
        <x:v>PDF</x:v>
      </x:c>
      <x:c r="I30" s="242" t="str">
        <x:v>Spanish</x:v>
      </x:c>
      <x:c r="J30" s="224" t="str">
        <x:v>Explains how the 2023 PGOUM rules apply to student and shared residences, local-to-residential transformations, exclusive-building requirements, room dimensions and parking. Highly useful for rule interpretation but not independently binding.</x:v>
      </x:c>
      <x:c r="K30" s="244" t="str">
        <x:v>Yes</x:v>
      </x:c>
      <x:c r="L30" s="224" t="str">
        <x:v>Confirms student residence is “residencia comunitaria”; establishment ≥ 40 m²; one bedroom 12 m² and remaining bedrooms 7 m²; at least one common-access bathroom 3 m²; kitchen 7 m². Confirms shared residences require whole-building conversion because they are allowed only in an exclusive building.</x:v>
      </x:c>
      <x:c r="M30" s="225" t="str">
        <x:v>Interprets Arts. 7.3.2, 7.3.4, 7.3.11, 7.3.12–7.3.16, 7.5.35 and 7.10.6.11 of the PGOUM. Use the BOCM-published NNUU as the legal source where wording conflicts.</x:v>
      </x:c>
    </x:row>
    <x:row r="31" ht="122" customHeight="1">
      <x:c r="A31" s="230" t="n">
        <x:v>19</x:v>
      </x:c>
      <x:c r="B31" s="228" t="str">
        <x:v>Ordenanza 6/2022, de 26 de abril, de Licencias y Declaraciones Responsables Urbanísticas del Ayuntamiento de Madrid</x:v>
      </x:c>
      <x:c r="C31" s="228" t="str">
        <x:v>Madrid Ordinance 6/2022 on Urban-Planning Licences and Responsible Declarations</x:v>
      </x:c>
      <x:c r="D31" s="228" t="str">
        <x:v>Pleno del Ayuntamiento de Madrid</x:v>
      </x:c>
      <x:c r="E31" s="245" t="str">
        <x:v>Municipal – Madrid</x:v>
      </x:c>
      <x:c r="F31" s="245" t="str">
        <x:v>Approved 26 Apr 2022; current consolidated version last updated 11 Jul 2023.</x:v>
      </x:c>
      <x:c r="G31" s="245" t="str">
        <x:v>https://sede.madrid.es/eli/es-md-01860896/odnz/2022/05/17/6/con/20230711/spa/html
https://sede.madrid.es/eli/es-md-01860896/odnz/2022/05/17/6/con/20230711/spa/pdf</x:v>
      </x:c>
      <x:c r="H31" s="245" t="str">
        <x:v>HTML / PDF</x:v>
      </x:c>
      <x:c r="I31" s="245" t="str">
        <x:v>Spanish</x:v>
      </x:c>
      <x:c r="J31" s="228" t="str">
        <x:v>Operative municipal pathway for works, implantation/change of activity or use, first occupation/functioning, documentation, inspections and control. The correct title depends on the scope of works, use change, listed status and other conditions.</x:v>
      </x:c>
      <x:c r="K31" s="247" t="str">
        <x:v>No</x:v>
      </x:c>
      <x:c r="L31" s="228" t="str">
        <x:v>Contains procedural periods and documentation rules, but no core student-room m² standard. Do not assume every office-to-residence project can use a responsible declaration; project scope and protected status may require a licence.</x:v>
      </x:c>
      <x:c r="M31" s="229" t="str">
        <x:v>Implements the municipal-intervention framework of Ley 9/2001 and applies the PGOUM and all sector rules, including CTE and regional accessibility law.</x:v>
      </x:c>
    </x:row>
    <x:row r="32" ht="122" customHeight="1">
      <x:c r="A32" s="226" t="n">
        <x:v>20</x:v>
      </x:c>
      <x:c r="B32" s="224" t="str">
        <x:v>Ordenanza de Protección contra la Contaminación Acústica y Térmica, de 25 de febrero de 2011</x:v>
      </x:c>
      <x:c r="C32" s="224" t="str">
        <x:v>Ordinance on Protection against Acoustic and Thermal Pollution</x:v>
      </x:c>
      <x:c r="D32" s="224" t="str">
        <x:v>Pleno del Ayuntamiento de Madrid</x:v>
      </x:c>
      <x:c r="E32" s="242" t="str">
        <x:v>Municipal – Madrid</x:v>
      </x:c>
      <x:c r="F32" s="242" t="str">
        <x:v>Initial text published 14 Mar 2011; current consolidated version last updated 16 Apr 2021.</x:v>
      </x:c>
      <x:c r="G32" s="242" t="str">
        <x:v>https://sede.madrid.es/eli/es-md-01860896/odnz/2011/03/14/(1)/con/20210416/spa/html
https://sede.madrid.es/eli/es-md-01860896/odnz/2011/03/14/(1)/con/20210416/spa/pdf</x:v>
      </x:c>
      <x:c r="H32" s="242" t="str">
        <x:v>HTML / PDF</x:v>
      </x:c>
      <x:c r="I32" s="242" t="str">
        <x:v>Spanish</x:v>
      </x:c>
      <x:c r="J32" s="224" t="str">
        <x:v>Local acoustic zoning, quality objectives, emission/inmission limits, building-installation noise and licence conditions. Particularly important for conversions above/beside commercial, leisure, mechanical or traffic noise sources.</x:v>
      </x:c>
      <x:c r="K32" s="244" t="str">
        <x:v>Yes</x:v>
      </x:c>
      <x:c r="L32" s="224" t="str">
        <x:v>Requires new buildings to meet CTE DB-HR and may require increased façade insulation where ambient noise exceeds the objective for the proposed use. Building heat-emitting installations may not raise adjacent interior temperature by more than 3°C under the specified measurement conditions.</x:v>
      </x:c>
      <x:c r="M32" s="225" t="str">
        <x:v>Implements Ley 37/2003 and its State regulations and adds local control. It expressly refers building-envelope acoustic performance to CTE DB-HR.</x:v>
      </x:c>
    </x:row>
    <x:row r="33" ht="122" customHeight="1">
      <x:c r="A33" s="230" t="n">
        <x:v>21</x:v>
      </x:c>
      <x:c r="B33" s="228" t="str">
        <x:v>Ordenanza de Protección de la Salubridad Pública en la Ciudad de Madrid, de 28 de mayo de 2014</x:v>
      </x:c>
      <x:c r="C33" s="228" t="str">
        <x:v>Madrid Public Health Protection Ordinance</x:v>
      </x:c>
      <x:c r="D33" s="228" t="str">
        <x:v>Pleno del Ayuntamiento de Madrid</x:v>
      </x:c>
      <x:c r="E33" s="245" t="str">
        <x:v>Municipal – Madrid</x:v>
      </x:c>
      <x:c r="F33" s="245" t="str">
        <x:v>Published 19 Jun 2014; official initial text remains the version displayed by the municipal legal portal.</x:v>
      </x:c>
      <x:c r="G33" s="245" t="str">
        <x:v>https://sede.madrid.es/eli/es-md-01860896/odnz/2014/06/19/(2)/dof/spa/html
https://sede.madrid.es/eli/es-md-01860896/odnz/2014/06/19/(2)/dof/spa/pdf</x:v>
      </x:c>
      <x:c r="H33" s="245" t="str">
        <x:v>HTML / PDF</x:v>
      </x:c>
      <x:c r="I33" s="245" t="str">
        <x:v>Spanish</x:v>
      </x:c>
      <x:c r="J33" s="228" t="str">
        <x:v>Municipal public-health controls for food preparation/service, pools and other regulated establishments. It is relevant when a student residence includes communal catering, a commercial kitchen, vending/food service or a swimming pool; it is not Madrid’s main dwelling-dimension code.</x:v>
      </x:c>
      <x:c r="K33" s="247" t="str">
        <x:v>Yes</x:v>
      </x:c>
      <x:c r="L33" s="228" t="str">
        <x:v>Contains use-specific sanitary dimensions, equipment, temperatures and operating conditions for covered activities. The exact checks depend on whether the residence operates food-service or other regulated facilities.</x:v>
      </x:c>
      <x:c r="M33" s="229" t="str">
        <x:v>Adds municipal operational health requirements. General accommodation dimensions come primarily from PGOUM Arts. 7.3.3–7.3.11 and health-system requirements from CTE DB-HS.</x:v>
      </x:c>
    </x:row>
    <x:row r="34" ht="122" customHeight="1">
      <x:c r="A34" s="250" t="n">
        <x:v>22</x:v>
      </x:c>
      <x:c r="B34" s="251" t="str">
        <x:v>Instrucción 2/2014 relativa a los criterios aplicables a las residencias de estudiantes y colegios mayores — sin efecto desde el 21 de marzo de 2024</x:v>
      </x:c>
      <x:c r="C34" s="251" t="str">
        <x:v>Instruction 2/2014 on criteria applicable to student residences and university halls of residence — no longer in force since 21 March 2024</x:v>
      </x:c>
      <x:c r="D34" s="251" t="str">
        <x:v>Ayuntamiento de Madrid, Coordinación General de Gestión Urbanística, Vivienda y Obras</x:v>
      </x:c>
      <x:c r="E34" s="252" t="str">
        <x:v>Municipal – Madrid</x:v>
      </x:c>
      <x:c r="F34" s="252" t="str">
        <x:v>Adopted 20 Oct 2014 and published in BOAM 23 Oct 2014. The official municipal legal database marks it as not in force: it ceased to have effect under the Madrid City Government Board Agreement of 21 Mar 2024, published 26 Mar 2024. Retained only as historical context.</x:v>
      </x:c>
      <x:c r="G34" s="252" t="str">
        <x:v>https://sede.madrid.es/portal/site/tramites/menuitem.5dd4485239c96e10f7a72106a8a409a0/?vgnextchannel=6b3d814231ede410VgnVCM1000000b205a0aRCRD&amp;vgnextfmt=default&amp;vgnextoid=2e428cfabee59410VgnVCM2000000c205a0aRCRD
https://sede.madrid.es/FrameWork/generacionPDF/ANM2014_28.pdf?cacheKey=1&amp;idNormativa=2e428cfabee59410VgnVCM2000000c205a0aRCRD&amp;nombreFichero=ANM2014_28
https://sede.madrid.es/portal/site/tramites/menuitem.5dd4485239c96e10f7a72106a8a409a0/?vgnextchannel=6b3d814231ede410VgnVCM1000000b205a0aRCRD&amp;vgnextfmt=default&amp;vgnextoid=a793b2de9aa7e810VgnVCM1000001d4a900aRCRD</x:v>
      </x:c>
      <x:c r="H34" s="252" t="str">
        <x:v>HTML / PDF</x:v>
      </x:c>
      <x:c r="I34" s="252" t="str">
        <x:v>Spanish</x:v>
      </x:c>
      <x:c r="J34" s="251" t="str">
        <x:v>Historical municipal interpretation distinguishing stable student accommodation/residencia comunitaria from temporary hotel accommodation. It is not operative after 21 Mar 2024 and must not be used as the current legal basis.</x:v>
      </x:c>
      <x:c r="K34" s="255" t="str">
        <x:v>No</x:v>
      </x:c>
      <x:c r="L34" s="251" t="str">
        <x:v>No current standalone quantitative threshold should be extracted from this instruction. Its former 500 m² distinction was superseded by the 2023 PGOUM wording.</x:v>
      </x:c>
      <x:c r="M34" s="254" t="str">
        <x:v>This instruction ceased to have effect on 21 Mar 2024. Current classification and dimensions must come from the BOCM-published PGOUM amendments, the current municipal NNUU and supporting guidance.</x:v>
      </x:c>
    </x:row>
  </x:sheetData>
  <x:mergeCells>
    <x:mergeCell ref="A1:M1"/>
    <x:mergeCell ref="A2:M2"/>
    <x:mergeCell ref="A3:M3"/>
    <x:mergeCell ref="A5:M5"/>
    <x:mergeCell ref="A11:M11"/>
  </x:mergeCells>
  <x:conditionalFormatting sqref="K13:K34">
    <x:cfRule type="expression" dxfId="0" priority="1">
      <x:formula>K13="Yes"</x:formula>
    </x:cfRule>
    <x:cfRule type="expression" dxfId="1" priority="2">
      <x:formula>K13="No"</x:formula>
    </x:cfRule>
  </x:conditionalFormatting>
  <x:pageMargins left="0.7" right="0.7" top="0.75" bottom="0.75" header="0.3" footer="0.3"/>
  <x:tableParts count="1">
    <x:tablePart xmlns:r="http://schemas.openxmlformats.org/officeDocument/2006/relationships" r:id="R5d82b087189846cf"/>
  </x:tableParts>
</x:worksheet>
</file>

<file path=xl/worksheets/sheet2.xml><?xml version="1.0" encoding="utf-8"?>
<x:worksheet xmlns:x="http://schemas.openxmlformats.org/spreadsheetml/2006/main">
  <x:sheetFormatPr defaultRowHeight="15"/>
  <x:cols>
    <x:col min="1" max="1" width="10" hidden="0" customWidth="1"/>
    <x:col min="2" max="2" width="48" hidden="0" customWidth="1"/>
    <x:col min="3" max="3" width="64" hidden="0" customWidth="1"/>
    <x:col min="4" max="4" width="52" hidden="0" customWidth="1"/>
  </x:cols>
  <x:sheetData>
    <x:row r="1" ht="28" customHeight="1">
      <x:c r="A1" s="213" t="str">
        <x:v>Student Housing – Madrid: Recommended Ingestion Order</x:v>
      </x:c>
      <x:c r="B1" s="213"/>
      <x:c r="C1" s="213"/>
      <x:c r="D1" s="213"/>
    </x:row>
    <x:row r="2" ht="28" customHeight="1">
      <x:c r="A2" s="214" t="str">
        <x:v>The first four packages build the general rules engine; the fifth must be retrieved dynamically for each property.</x:v>
      </x:c>
      <x:c r="B2" s="214"/>
      <x:c r="C2" s="214"/>
      <x:c r="D2" s="214"/>
    </x:row>
    <x:row r="4">
      <x:c r="A4" s="216" t="str">
        <x:v>Priority</x:v>
      </x:c>
      <x:c r="B4" s="217" t="str">
        <x:v>Document / package</x:v>
      </x:c>
      <x:c r="C4" s="217" t="str">
        <x:v>Why ingest first</x:v>
      </x:c>
      <x:c r="D4" s="218" t="str">
        <x:v>Key rule domains</x:v>
      </x:c>
    </x:row>
    <x:row r="5" ht="84" customHeight="1">
      <x:c r="A5" s="222" t="n">
        <x:v>1</x:v>
      </x:c>
      <x:c r="B5" s="220" t="str">
        <x:v>Madrid PGOUM 1997 — current NNUU (2023 amendment + 2025 compendium)</x:v>
      </x:c>
      <x:c r="C5" s="220" t="str">
        <x:v>It classifies student accommodation as residencia comunitaria, contains the local dimensional standards and controls whether conversion is possible in the building/parcel.</x:v>
      </x:c>
      <x:c r="D5" s="221" t="str">
        <x:v>Use category; parcel compatibility; room areas; height; daylight; below-grade; common spaces; parking; whole-building conditions</x:v>
      </x:c>
    </x:row>
    <x:row r="6" ht="84" customHeight="1">
      <x:c r="A6" s="226" t="n">
        <x:v>2</x:v>
      </x:c>
      <x:c r="B6" s="224" t="str">
        <x:v>CTE package: RD 314/2006 + DB-SI + DB-SUA</x:v>
      </x:c>
      <x:c r="C6" s="224" t="str">
        <x:v>Fire evacuation and accessibility are often the strongest feasibility constraints in existing office/commercial buildings and are expressly required by PGOUM Art. 7.3.11.</x:v>
      </x:c>
      <x:c r="D6" s="225" t="str">
        <x:v>Occupant load; exits; travel distance; compartmentation; stairs; accessible routes; lifts; doors; sanitary facilities</x:v>
      </x:c>
    </x:row>
    <x:row r="7" ht="84" customHeight="1">
      <x:c r="A7" s="230" t="n">
        <x:v>3</x:v>
      </x:c>
      <x:c r="B7" s="228" t="str">
        <x:v>CTE package: DB-HS + DB-HR + DB-HE</x:v>
      </x:c>
      <x:c r="C7" s="228" t="str">
        <x:v>Determines whether the existing envelope, ventilation, drainage, acoustic separation and energy performance can support sleeping accommodation.</x:v>
      </x:c>
      <x:c r="D7" s="229" t="str">
        <x:v>Ventilation; moisture; radon; water/drainage; acoustic insulation; envelope and energy upgrades</x:v>
      </x:c>
    </x:row>
    <x:row r="8" ht="84" customHeight="1">
      <x:c r="A8" s="226" t="n">
        <x:v>4</x:v>
      </x:c>
      <x:c r="B8" s="224" t="str">
        <x:v>Ley 9/2001 Comunidad de Madrid + Madrid Ordenanza 6/2022</x:v>
      </x:c>
      <x:c r="C8" s="224" t="str">
        <x:v>Together they determine the legal municipal-intervention pathway and the required project/title for works and change of use.</x:v>
      </x:c>
      <x:c r="D8" s="225" t="str">
        <x:v>Change-of-use procedure; licence vs responsible declaration; project documents; first occupation/functioning; inspections</x:v>
      </x:c>
    </x:row>
    <x:row r="9" ht="84" customHeight="1">
      <x:c r="A9" s="234" t="n">
        <x:v>5</x:v>
      </x:c>
      <x:c r="B9" s="232" t="str">
        <x:v>Madrid PGOUM parcel package: zoning sheet + applicable Norma Zonal / APE / APR / special plan</x:v>
      </x:c>
      <x:c r="C9" s="232" t="str">
        <x:v>The generic PGOUM residence rules do not prove that the target use is permitted on a specific parcel. This package resolves the actual use compatibility and heritage constraints.</x:v>
      </x:c>
      <x:c r="D9" s="233" t="str">
        <x:v>Qualified/alternative/compatible use; exclusive building; floor position; protected elements; special-plan conditions</x:v>
      </x:c>
    </x:row>
  </x:sheetData>
  <x:mergeCells>
    <x:mergeCell ref="A1:D1"/>
    <x:mergeCell ref="A2:D2"/>
  </x:mergeCells>
  <x:pageMargins left="0.7" right="0.7" top="0.75" bottom="0.75" header="0.3" footer="0.3"/>
  <x:tableParts count="1">
    <x:tablePart xmlns:r="http://schemas.openxmlformats.org/officeDocument/2006/relationships" r:id="R07e825fcf2684224"/>
  </x:tableParts>
</x:worksheet>
</file>

<file path=xl/worksheets/sheet3.xml><?xml version="1.0" encoding="utf-8"?>
<x:worksheet xmlns:x="http://schemas.openxmlformats.org/spreadsheetml/2006/main">
  <x:sheetFormatPr defaultRowHeight="15"/>
  <x:cols>
    <x:col min="1" max="1" width="42" hidden="0" customWidth="1"/>
    <x:col min="2" max="2" width="62" hidden="0" customWidth="1"/>
    <x:col min="3" max="3" width="70" hidden="0" customWidth="1"/>
  </x:cols>
  <x:sheetData>
    <x:row r="1" ht="28" customHeight="1">
      <x:c r="A1" s="213" t="str">
        <x:v>Open Items Requiring Parcel-Level Reading or Municipal Confirmation</x:v>
      </x:c>
      <x:c r="B1" s="213"/>
      <x:c r="C1" s="213"/>
    </x:row>
    <x:row r="2" ht="28" customHeight="1">
      <x:c r="A2" s="214" t="str">
        <x:v>These items cannot be resolved reliably from the general national/regional/municipal corpus alone.</x:v>
      </x:c>
      <x:c r="B2" s="214"/>
      <x:c r="C2" s="214"/>
    </x:row>
    <x:row r="4">
      <x:c r="A4" s="216" t="str">
        <x:v>Open item</x:v>
      </x:c>
      <x:c r="B4" s="217" t="str">
        <x:v>Why it matters</x:v>
      </x:c>
      <x:c r="C4" s="218" t="str">
        <x:v>How to resolve@Web search</x:v>
      </x:c>
    </x:row>
    <x:row r="5" ht="82" customHeight="1">
      <x:c r="A5" s="235" t="str">
        <x:v>Parcel-specific permission for residencia comunitaria</x:v>
      </x:c>
      <x:c r="B5" s="220" t="str">
        <x:v>The citywide NNUU define the use, but permission depends on the parcel’s qualified, alternative, compatible or authorisable uses under its Norma Zonal, APE, APR or special plan.</x:v>
      </x:c>
      <x:c r="C5" s="221" t="str">
        <x:v>Search the Ayuntamiento de Madrid Urban Planning Viewer/Geoportal by cadastral reference or address; retrieve the planning sheet, Norma Zonal and any APE/APR/special-plan rules; confirm with a cédula urbanística or written consulta urbanística when ambiguous.</x:v>
      </x:c>
    </x:row>
    <x:row r="6" ht="82" customHeight="1">
      <x:c r="A6" s="236" t="str">
        <x:v>Whether the proposal is residencia comunitaria or residencia compartida</x:v>
      </x:c>
      <x:c r="B6" s="224" t="str">
        <x:v>The categories have materially different rules. Shared residence requires private bedroom+bath units, larger common-space ratios and an exclusive building; a genuine student residence normally falls under residencia comunitaria.</x:v>
      </x:c>
      <x:c r="C6" s="225" t="str">
        <x:v>Read the proposed operating model, contracts, resident eligibility and physical unit design against PGOUM Art. 7.3.2 and Art. 7.3.11; submit a formal municipal urban-planning consultation if the classification is uncertain.</x:v>
      </x:c>
    </x:row>
    <x:row r="7" ht="82" customHeight="1">
      <x:c r="A7" s="237" t="str">
        <x:v>Exact licence versus responsible-declaration pathway</x:v>
      </x:c>
      <x:c r="B7" s="228" t="str">
        <x:v>The correct municipal title changes with structural works, protected status, general restructuring, activity scope and whether a LOE project is required.</x:v>
      </x:c>
      <x:c r="C7" s="229" t="str">
        <x:v>Apply Ley 9/2001 and Ordenanza 6/2022 to the final works schedule; use the Ayuntamiento licence decision tools and request a pre-application/urban-planning consultation for borderline cases.</x:v>
      </x:c>
    </x:row>
    <x:row r="8" ht="82" customHeight="1">
      <x:c r="A8" s="236" t="str">
        <x:v>Protected building or protected interior elements</x:v>
      </x:c>
      <x:c r="B8" s="224" t="str">
        <x:v>Heritage catalogue status may prohibit façade, stair, lift, patio or internal-layout changes needed for fire and accessibility compliance.</x:v>
      </x:c>
      <x:c r="C8" s="225" t="str">
        <x:v>Search the PGOUM catalogue and parcel planning record in the municipal viewer; retrieve the catalogue sheet and protection level; check whether a special plan or heritage commission report is required.</x:v>
      </x:c>
    </x:row>
    <x:row r="9" ht="82" customHeight="1">
      <x:c r="A9" s="237" t="str">
        <x:v>Existing lawful use and lawful building status</x:v>
      </x:c>
      <x:c r="B9" s="228" t="str">
        <x:v>A conversion cannot be assessed reliably without confirming the authorised current use, prior licences, floor areas and whether works are legalised or out of order.</x:v>
      </x:c>
      <x:c r="C9" s="229" t="str">
        <x:v>Obtain the municipal urban-planning file, original/building licences, first-occupation documents, cadastral data and registry plans; reconcile discrepancies before applying change-of-use rules.</x:v>
      </x:c>
    </x:row>
    <x:row r="10" ht="82" customHeight="1">
      <x:c r="A10" s="236" t="str">
        <x:v>CTE existing-building proportionality and technical infeasibility</x:v>
      </x:c>
      <x:c r="B10" s="224" t="str">
        <x:v>CTE application to existing buildings is intervention-specific; justified alternative solutions may be possible, but cannot be inferred from generic thresholds.</x:v>
      </x:c>
      <x:c r="C10" s="225" t="str">
        <x:v>Have a competent architect prepare the CTE scope matrix and existing-building justification; search official CTE supporting documents and submit technical questions through the competent municipal/ministerial channels where needed.</x:v>
      </x:c>
    </x:row>
    <x:row r="11" ht="82" customHeight="1">
      <x:c r="A11" s="237" t="str">
        <x:v>Fire-use classification and evacuation design for the exact operation</x:v>
      </x:c>
      <x:c r="B11" s="228" t="str">
        <x:v>Room configuration, resident autonomy, staff, public areas and ancillary uses may change the DB-SI occupancy assumptions, compartmentation and exit design.</x:v>
      </x:c>
      <x:c r="C11" s="229" t="str">
        <x:v>Prepare a room-by-room use/occupancy schedule and verify it against the current DB-SI coordinated text; seek a formal fire-engineering review for complex mixed uses.</x:v>
      </x:c>
    </x:row>
    <x:row r="12" ht="82" customHeight="1">
      <x:c r="A12" s="236" t="str">
        <x:v>Communal kitchen / catering model</x:v>
      </x:c>
      <x:c r="B12" s="224" t="str">
        <x:v>A self-use communal kitchen, contracted canteen and food business can trigger different municipal public-health and activity requirements.</x:v>
      </x:c>
      <x:c r="C12" s="225" t="str">
        <x:v>Define the operating model and search the Madrid salubrity ordinance and food-establishment procedures; consult Madrid Salud for a binding operational interpretation when commercial catering is planned.</x:v>
      </x:c>
    </x:row>
    <x:row r="13" ht="82" customHeight="1">
      <x:c r="A13" s="237" t="str">
        <x:v>Parking exemption and mobility conditions</x:v>
      </x:c>
      <x:c r="B13" s="228" t="str">
        <x:v>PGOUM provides base standards but allows exemptions/reductions based on required spaces, parcel size/frontage, technical difficulty, heritage and other factors.</x:v>
      </x:c>
      <x:c r="C13" s="229" t="str">
        <x:v>Calculate Art. 7.5.35 standards, then test Art. 7.5.8 exceptions with parcel dimensions and project scope; obtain municipal acceptance in the licence file.</x:v>
      </x:c>
    </x:row>
    <x:row r="14" ht="82" customHeight="1">
      <x:c r="A14" s="236" t="str">
        <x:v>No general national or Comunidad de Madrid private student-residence room-size code identified</x:v>
      </x:c>
      <x:c r="B14" s="224" t="str">
        <x:v>The key room dimensions therefore come from Madrid city’s PGOUM, not from a standalone State or regional student-housing decree. Colegio Mayor rules are institutional rather than dimensional.</x:v>
      </x:c>
      <x:c r="C14" s="225" t="str">
        <x:v>Continue monitoring BOE/BOCM and official university/housing legislation; for a formal Colegio Mayor, additionally verify university recognition and statutes under Decreto 2780/1973.</x:v>
      </x:c>
    </x:row>
    <x:row r="15" ht="82" customHeight="1">
      <x:c r="A15" s="238" t="str">
        <x:v>Possible later amendments after the 24 Sep 2025 PGOUM compendium</x:v>
      </x:c>
      <x:c r="B15" s="232" t="str">
        <x:v>The compendium is informative; legally effective amendments are the individual BOCM publications.</x:v>
      </x:c>
      <x:c r="C15" s="233" t="str">
        <x:v>Before production ingestion, compare the Ayuntamiento’s current NNUU page and BOCM amendment register against the 24 Sep 2025 compendium and record the retrieval date/version hash.</x:v>
      </x:c>
    </x:row>
  </x:sheetData>
  <x:mergeCells>
    <x:mergeCell ref="A1:C1"/>
    <x:mergeCell ref="A2:C2"/>
  </x:mergeCells>
  <x:pageMargins left="0.7" right="0.7" top="0.75" bottom="0.75" header="0.3" footer="0.3"/>
  <x:tableParts count="1">
    <x:tablePart xmlns:r="http://schemas.openxmlformats.org/officeDocument/2006/relationships" r:id="R93b1cc5ef1534d78"/>
  </x:tableParts>
</x:worksheet>
</file>